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Misc-Hardware\Door Sensor PCB\"/>
    </mc:Choice>
  </mc:AlternateContent>
  <xr:revisionPtr revIDLastSave="0" documentId="13_ncr:1_{43F5490B-4160-4317-A48A-6D41C967E032}" xr6:coauthVersionLast="47" xr6:coauthVersionMax="47" xr10:uidLastSave="{00000000-0000-0000-0000-000000000000}"/>
  <bookViews>
    <workbookView xWindow="-110" yWindow="-110" windowWidth="19420" windowHeight="11500" xr2:uid="{EF5FB733-7943-4F44-A587-8375BD855EFB}"/>
  </bookViews>
  <sheets>
    <sheet name="Door Sensor PCB V2" sheetId="1" r:id="rId1"/>
  </sheets>
  <definedNames>
    <definedName name="_xlnm.Print_Titles" localSheetId="0">'Door Sensor PCB V2'!$1:$1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<sst xmlns="http://schemas.openxmlformats.org/spreadsheetml/2006/main" count="200" uniqueCount="114">
  <si>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</si>
  <si>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</si>
  <si>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</si>
  <si>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</si>
  <si>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</si>
  <si>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</si>
  <si>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</si>
  <si>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</si>
  <si>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</si>
  <si>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</si>
  <si>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</si>
  <si>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</si>
  <si>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</si>
  <si>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[Cap] SMD Nonpolarized</t>
  </si>
  <si>
    <t>C1, C2, C4, C8, C10, C12, C13, C15</t>
  </si>
  <si>
    <t>Yageo Group</t>
  </si>
  <si>
    <t>CC0603KRX7R7BB104</t>
  </si>
  <si>
    <t>Volume Production</t>
  </si>
  <si>
    <t>DigiKey</t>
  </si>
  <si>
    <t>311-1088-6-ND</t>
  </si>
  <si>
    <t>SMD Nonpolarized</t>
  </si>
  <si>
    <t>C3</t>
  </si>
  <si>
    <t>Murata</t>
  </si>
  <si>
    <t>GRM188R61E475KE11D</t>
  </si>
  <si>
    <t>490-7203-1-ND</t>
  </si>
  <si>
    <t>C5, C6</t>
  </si>
  <si>
    <t>Samsung Electro-Mechanics</t>
  </si>
  <si>
    <t>CL10A106MA8NRNC</t>
  </si>
  <si>
    <t>1276-1869-1-ND</t>
  </si>
  <si>
    <t>SMD Polarized</t>
  </si>
  <si>
    <t>C7, C9, C11, C14</t>
  </si>
  <si>
    <t>Nichicon</t>
  </si>
  <si>
    <t>UWT0J470MCL1GB</t>
  </si>
  <si>
    <t>493-2152-1-ND</t>
  </si>
  <si>
    <t>LED</t>
  </si>
  <si>
    <t>3mm LED</t>
  </si>
  <si>
    <t>D1</t>
  </si>
  <si>
    <t>Wurth Elektronik</t>
  </si>
  <si>
    <t>151031VS06000</t>
  </si>
  <si>
    <t>Unknown</t>
  </si>
  <si>
    <t>732-5008-ND</t>
  </si>
  <si>
    <t>D2</t>
  </si>
  <si>
    <t>Everlight</t>
  </si>
  <si>
    <t>HLMPD150A</t>
  </si>
  <si>
    <t>1080-1064-ND</t>
  </si>
  <si>
    <t>2x8 Male Headers</t>
  </si>
  <si>
    <t>2.54mm pitch</t>
  </si>
  <si>
    <t>H1</t>
  </si>
  <si>
    <t>Pico 2W</t>
  </si>
  <si>
    <t>P1</t>
  </si>
  <si>
    <t>[Res] SMD Resistor</t>
  </si>
  <si>
    <t>Generic</t>
  </si>
  <si>
    <t>R1, R2, R3, R4, R5, R6, R7, R8, R13, R14</t>
  </si>
  <si>
    <t>Stackpole Electronics</t>
  </si>
  <si>
    <t>RMCF0603FT1K00</t>
  </si>
  <si>
    <t>RMCF0603FT1K00DKR-ND</t>
  </si>
  <si>
    <t>R9</t>
  </si>
  <si>
    <t>RC0603FR-073K16L</t>
  </si>
  <si>
    <t>311-3.16KHRCT-ND</t>
  </si>
  <si>
    <t>R10</t>
  </si>
  <si>
    <t>RC0603FR-0710KL</t>
  </si>
  <si>
    <t>311-10.0KHRDKR-ND</t>
  </si>
  <si>
    <t>R11</t>
  </si>
  <si>
    <t>RC0603JR-078K2L</t>
  </si>
  <si>
    <t>311-8.2KGRCT-ND</t>
  </si>
  <si>
    <t>R12</t>
  </si>
  <si>
    <t>RMCF0603FT14K0</t>
  </si>
  <si>
    <t>RMCF0603FT14K0DKR-ND</t>
  </si>
  <si>
    <t>SPDT 90deg Thru-Hole</t>
  </si>
  <si>
    <t>100SP1T2B4M6QE</t>
  </si>
  <si>
    <t>S1</t>
  </si>
  <si>
    <t>Standard pushbutton</t>
  </si>
  <si>
    <t>S2, S3</t>
  </si>
  <si>
    <t>TE Connectivity</t>
  </si>
  <si>
    <t>1825910-6</t>
  </si>
  <si>
    <t>450-1650-ND</t>
  </si>
  <si>
    <t>VL53L0X</t>
  </si>
  <si>
    <t>VL53L0CXV0DH/1</t>
  </si>
  <si>
    <t>U1</t>
  </si>
  <si>
    <t>STMicroelectronics</t>
  </si>
  <si>
    <t>VL53L1CXV0FY/1</t>
  </si>
  <si>
    <t>497-17764-1-ND</t>
  </si>
  <si>
    <t>5V, 3V3</t>
  </si>
  <si>
    <t>MIC29302WT</t>
  </si>
  <si>
    <t>U2, U4</t>
  </si>
  <si>
    <t>Microchip</t>
  </si>
  <si>
    <t>576-1124-ND</t>
  </si>
  <si>
    <t>[Device] DFPlayer Mini MP3 Player</t>
  </si>
  <si>
    <t>U3</t>
  </si>
  <si>
    <t>[IC] Level Shifter (2)</t>
  </si>
  <si>
    <t>TXS0108EQPWRQ1</t>
  </si>
  <si>
    <t>U5</t>
  </si>
  <si>
    <t>Texas Instruments</t>
  </si>
  <si>
    <t>296-42401-1-ND</t>
  </si>
  <si>
    <t>1.8V 1A Linear</t>
  </si>
  <si>
    <t>NCP1117IST18T3G</t>
  </si>
  <si>
    <t>U6</t>
  </si>
  <si>
    <t>onsemi</t>
  </si>
  <si>
    <t>488-NCP1117IST18T3GCT-ND</t>
  </si>
  <si>
    <t>DC Barrel Jack</t>
  </si>
  <si>
    <t>Pin 1: Pin_x000D_
Pin2/3: Barrel</t>
  </si>
  <si>
    <t>X1</t>
  </si>
  <si>
    <t>Same Sky</t>
  </si>
  <si>
    <t>PJ-102A</t>
  </si>
  <si>
    <t>CP-102A-ND</t>
  </si>
  <si>
    <t>3pin Screw Terminal</t>
  </si>
  <si>
    <t>X2</t>
  </si>
  <si>
    <t>TB003-500-P03BE</t>
  </si>
  <si>
    <t>102-6162-ND</t>
  </si>
  <si>
    <t>2pin Screw Terminal</t>
  </si>
  <si>
    <t>X3</t>
  </si>
  <si>
    <t>TB002-500-02BE</t>
  </si>
  <si>
    <t>102-6145-ND</t>
  </si>
  <si>
    <t>Customer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</si>
</sst>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A286-A340-4F24-A19F-4017A46F0AE6}">
  <dimension ref="A1:M24"/>
  <sheetViews>
    <sheetView tabSelected="1" topLeftCell="A6" workbookViewId="0">
      <selection activeCell="D24" sqref="D24"/>
    </sheetView>
  </sheetViews>
  <sheetFormatPr defaultRowHeight="14.5" x14ac:dyDescent="0.35"/>
  <cols>
    <col min="1" max="1" width="8.81640625" customWidth="1"/>
    <col min="2" max="2" width="15.81640625" customWidth="1"/>
    <col min="3" max="4" width="19.7265625" customWidth="1"/>
    <col min="5" max="5" width="15.81640625" customWidth="1"/>
    <col min="6" max="6" width="10.81640625" customWidth="1"/>
    <col min="7" max="7" width="15.81640625" customWidth="1"/>
    <col min="8" max="8" width="26.453125" customWidth="1"/>
    <col min="9" max="9" width="22.81640625" customWidth="1"/>
    <col min="10" max="10" width="11.81640625" customWidth="1"/>
    <col min="11" max="11" width="22.1796875" customWidth="1"/>
    <col min="12" max="12" width="19.7265625" customWidth="1"/>
    <col min="13" max="13" width="18.81640625" customWidth="1"/>
  </cols>
  <sheetData>
    <row r="1" spans="1:13" s="5" customFormat="1" x14ac:dyDescent="0.35">
      <c r="A1" s="4" t="s">
        <v>0</v>
      </c>
      <c r="B1" s="4" t="s">
        <v>1</v>
      </c>
      <c r="C1" s="4" t="s">
        <v>2</v>
      </c>
      <c r="D1" s="4" t="s">
        <v>113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35">
      <c r="A2" s="2" t="s">
        <v>12</v>
      </c>
      <c r="B2" s="2" t="s">
        <v>13</v>
      </c>
      <c r="C2" s="2" t="s">
        <v>12</v>
      </c>
      <c r="D2" s="2" t="str">
        <f>"Door Sensor Board V2 [" &amp; E2 &amp; "]"</f>
        <v>Door Sensor Board V2 [C1, C2, C4, C8, C10, C12, C13, C15]</v>
      </c>
      <c r="E2" s="2" t="s">
        <v>14</v>
      </c>
      <c r="F2" s="1">
        <v>8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1">
        <v>6.0000000000000001E-3</v>
      </c>
      <c r="M2" s="1">
        <v>0.06</v>
      </c>
    </row>
    <row r="3" spans="1:13" x14ac:dyDescent="0.35">
      <c r="A3" s="2" t="s">
        <v>12</v>
      </c>
      <c r="B3" s="2" t="s">
        <v>20</v>
      </c>
      <c r="C3" s="2" t="s">
        <v>12</v>
      </c>
      <c r="D3" s="2" t="str">
        <f t="shared" ref="D3:D23" si="0">"Door Sensor Board V2 [" &amp; E3 &amp; "]"</f>
        <v>Door Sensor Board V2 [C3]</v>
      </c>
      <c r="E3" s="2" t="s">
        <v>21</v>
      </c>
      <c r="F3" s="1">
        <v>1</v>
      </c>
      <c r="G3" s="2" t="s">
        <v>22</v>
      </c>
      <c r="H3" s="2" t="s">
        <v>23</v>
      </c>
      <c r="I3" s="2" t="s">
        <v>17</v>
      </c>
      <c r="J3" s="2" t="s">
        <v>18</v>
      </c>
      <c r="K3" s="2" t="s">
        <v>24</v>
      </c>
      <c r="L3" s="1">
        <v>0.08</v>
      </c>
      <c r="M3" s="1">
        <v>0.08</v>
      </c>
    </row>
    <row r="4" spans="1:13" x14ac:dyDescent="0.35">
      <c r="A4" s="2" t="s">
        <v>12</v>
      </c>
      <c r="B4" s="2" t="s">
        <v>20</v>
      </c>
      <c r="C4" s="2" t="s">
        <v>12</v>
      </c>
      <c r="D4" s="2" t="str">
        <f t="shared" si="0"/>
        <v>Door Sensor Board V2 [C5, C6]</v>
      </c>
      <c r="E4" s="2" t="s">
        <v>25</v>
      </c>
      <c r="F4" s="1">
        <v>2</v>
      </c>
      <c r="G4" s="2" t="s">
        <v>26</v>
      </c>
      <c r="H4" s="2" t="s">
        <v>27</v>
      </c>
      <c r="I4" s="2" t="s">
        <v>17</v>
      </c>
      <c r="J4" s="2" t="s">
        <v>18</v>
      </c>
      <c r="K4" s="2" t="s">
        <v>28</v>
      </c>
      <c r="L4" s="1">
        <v>0.11</v>
      </c>
      <c r="M4" s="1">
        <v>0.22</v>
      </c>
    </row>
    <row r="5" spans="1:13" x14ac:dyDescent="0.35">
      <c r="A5" s="2" t="s">
        <v>12</v>
      </c>
      <c r="B5" s="2" t="s">
        <v>29</v>
      </c>
      <c r="C5" s="2" t="s">
        <v>12</v>
      </c>
      <c r="D5" s="2" t="str">
        <f t="shared" si="0"/>
        <v>Door Sensor Board V2 [C7, C9, C11, C14]</v>
      </c>
      <c r="E5" s="2" t="s">
        <v>30</v>
      </c>
      <c r="F5" s="1">
        <v>4</v>
      </c>
      <c r="G5" s="2" t="s">
        <v>31</v>
      </c>
      <c r="H5" s="2" t="s">
        <v>32</v>
      </c>
      <c r="I5" s="2" t="s">
        <v>17</v>
      </c>
      <c r="J5" s="2" t="s">
        <v>18</v>
      </c>
      <c r="K5" s="2" t="s">
        <v>33</v>
      </c>
      <c r="L5" s="1">
        <v>0.34</v>
      </c>
      <c r="M5" s="1">
        <v>1.36</v>
      </c>
    </row>
    <row r="6" spans="1:13" x14ac:dyDescent="0.35">
      <c r="A6" s="2" t="s">
        <v>12</v>
      </c>
      <c r="B6" s="2" t="s">
        <v>34</v>
      </c>
      <c r="C6" s="2" t="s">
        <v>35</v>
      </c>
      <c r="D6" s="2" t="str">
        <f t="shared" si="0"/>
        <v>Door Sensor Board V2 [D1]</v>
      </c>
      <c r="E6" s="2" t="s">
        <v>36</v>
      </c>
      <c r="F6" s="1">
        <v>1</v>
      </c>
      <c r="G6" s="2" t="s">
        <v>37</v>
      </c>
      <c r="H6" s="2" t="s">
        <v>38</v>
      </c>
      <c r="I6" s="2" t="s">
        <v>39</v>
      </c>
      <c r="J6" s="2" t="s">
        <v>18</v>
      </c>
      <c r="K6" s="2" t="s">
        <v>40</v>
      </c>
      <c r="L6" s="1">
        <v>0.15</v>
      </c>
      <c r="M6" s="1">
        <v>0.15</v>
      </c>
    </row>
    <row r="7" spans="1:13" x14ac:dyDescent="0.35">
      <c r="A7" s="2" t="s">
        <v>12</v>
      </c>
      <c r="B7" s="2" t="s">
        <v>34</v>
      </c>
      <c r="C7" s="2" t="s">
        <v>35</v>
      </c>
      <c r="D7" s="2" t="str">
        <f t="shared" si="0"/>
        <v>Door Sensor Board V2 [D2]</v>
      </c>
      <c r="E7" s="2" t="s">
        <v>41</v>
      </c>
      <c r="F7" s="1">
        <v>1</v>
      </c>
      <c r="G7" s="2" t="s">
        <v>42</v>
      </c>
      <c r="H7" s="2" t="s">
        <v>43</v>
      </c>
      <c r="I7" s="2" t="s">
        <v>39</v>
      </c>
      <c r="J7" s="2" t="s">
        <v>18</v>
      </c>
      <c r="K7" s="2" t="s">
        <v>44</v>
      </c>
      <c r="L7" s="1">
        <v>0.19</v>
      </c>
      <c r="M7" s="1">
        <v>0.19</v>
      </c>
    </row>
    <row r="8" spans="1:13" x14ac:dyDescent="0.35">
      <c r="A8" s="2" t="s">
        <v>12</v>
      </c>
      <c r="B8" s="2" t="s">
        <v>45</v>
      </c>
      <c r="C8" s="2" t="s">
        <v>46</v>
      </c>
      <c r="D8" s="2" t="str">
        <f t="shared" si="0"/>
        <v>Door Sensor Board V2 [H1]</v>
      </c>
      <c r="E8" s="2" t="s">
        <v>47</v>
      </c>
      <c r="F8" s="1">
        <v>1</v>
      </c>
      <c r="G8" s="1"/>
      <c r="H8" s="1"/>
      <c r="I8" s="1"/>
      <c r="J8" s="1"/>
      <c r="K8" s="1"/>
      <c r="L8" s="1"/>
      <c r="M8" s="1"/>
    </row>
    <row r="9" spans="1:13" x14ac:dyDescent="0.35">
      <c r="A9" s="2" t="s">
        <v>12</v>
      </c>
      <c r="B9" s="2" t="s">
        <v>48</v>
      </c>
      <c r="C9" s="2" t="s">
        <v>12</v>
      </c>
      <c r="D9" s="2" t="str">
        <f t="shared" si="0"/>
        <v>Door Sensor Board V2 [P1]</v>
      </c>
      <c r="E9" s="2" t="s">
        <v>49</v>
      </c>
      <c r="F9" s="1">
        <v>1</v>
      </c>
      <c r="G9" s="1"/>
      <c r="H9" s="1"/>
      <c r="I9" s="1"/>
      <c r="J9" s="1"/>
      <c r="K9" s="1"/>
      <c r="L9" s="1"/>
      <c r="M9" s="1"/>
    </row>
    <row r="10" spans="1:13" x14ac:dyDescent="0.35">
      <c r="A10" s="2" t="s">
        <v>12</v>
      </c>
      <c r="B10" s="2" t="s">
        <v>50</v>
      </c>
      <c r="C10" s="2" t="s">
        <v>51</v>
      </c>
      <c r="D10" s="2" t="str">
        <f t="shared" si="0"/>
        <v>Door Sensor Board V2 [R1, R2, R3, R4, R5, R6, R7, R8, R13, R14]</v>
      </c>
      <c r="E10" s="2" t="s">
        <v>52</v>
      </c>
      <c r="F10" s="1">
        <v>10</v>
      </c>
      <c r="G10" s="2" t="s">
        <v>53</v>
      </c>
      <c r="H10" s="2" t="s">
        <v>54</v>
      </c>
      <c r="I10" s="2" t="s">
        <v>17</v>
      </c>
      <c r="J10" s="2" t="s">
        <v>18</v>
      </c>
      <c r="K10" s="2" t="s">
        <v>55</v>
      </c>
      <c r="L10" s="1">
        <v>0.01</v>
      </c>
      <c r="M10" s="1">
        <v>0.1</v>
      </c>
    </row>
    <row r="11" spans="1:13" x14ac:dyDescent="0.35">
      <c r="A11" s="2" t="s">
        <v>12</v>
      </c>
      <c r="B11" s="2" t="s">
        <v>50</v>
      </c>
      <c r="C11" s="2" t="s">
        <v>51</v>
      </c>
      <c r="D11" s="2" t="str">
        <f t="shared" si="0"/>
        <v>Door Sensor Board V2 [R9]</v>
      </c>
      <c r="E11" s="2" t="s">
        <v>56</v>
      </c>
      <c r="F11" s="1">
        <v>1</v>
      </c>
      <c r="G11" s="2" t="s">
        <v>15</v>
      </c>
      <c r="H11" s="2" t="s">
        <v>57</v>
      </c>
      <c r="I11" s="2" t="s">
        <v>17</v>
      </c>
      <c r="J11" s="2" t="s">
        <v>18</v>
      </c>
      <c r="K11" s="2" t="s">
        <v>58</v>
      </c>
      <c r="L11" s="1">
        <v>0.1</v>
      </c>
      <c r="M11" s="1">
        <v>0.1</v>
      </c>
    </row>
    <row r="12" spans="1:13" x14ac:dyDescent="0.35">
      <c r="A12" s="2" t="s">
        <v>12</v>
      </c>
      <c r="B12" s="2" t="s">
        <v>50</v>
      </c>
      <c r="C12" s="2" t="s">
        <v>51</v>
      </c>
      <c r="D12" s="2" t="str">
        <f t="shared" si="0"/>
        <v>Door Sensor Board V2 [R10]</v>
      </c>
      <c r="E12" s="2" t="s">
        <v>59</v>
      </c>
      <c r="F12" s="1">
        <v>1</v>
      </c>
      <c r="G12" s="2" t="s">
        <v>15</v>
      </c>
      <c r="H12" s="2" t="s">
        <v>60</v>
      </c>
      <c r="I12" s="2" t="s">
        <v>17</v>
      </c>
      <c r="J12" s="2" t="s">
        <v>18</v>
      </c>
      <c r="K12" s="2" t="s">
        <v>61</v>
      </c>
      <c r="L12" s="1">
        <v>0.1</v>
      </c>
      <c r="M12" s="1">
        <v>0.1</v>
      </c>
    </row>
    <row r="13" spans="1:13" x14ac:dyDescent="0.35">
      <c r="A13" s="2" t="s">
        <v>12</v>
      </c>
      <c r="B13" s="2" t="s">
        <v>50</v>
      </c>
      <c r="C13" s="2" t="s">
        <v>51</v>
      </c>
      <c r="D13" s="2" t="str">
        <f t="shared" si="0"/>
        <v>Door Sensor Board V2 [R11]</v>
      </c>
      <c r="E13" s="2" t="s">
        <v>62</v>
      </c>
      <c r="F13" s="1">
        <v>1</v>
      </c>
      <c r="G13" s="2" t="s">
        <v>15</v>
      </c>
      <c r="H13" s="2" t="s">
        <v>63</v>
      </c>
      <c r="I13" s="2" t="s">
        <v>17</v>
      </c>
      <c r="J13" s="2" t="s">
        <v>18</v>
      </c>
      <c r="K13" s="2" t="s">
        <v>64</v>
      </c>
      <c r="L13" s="1">
        <v>0.1</v>
      </c>
      <c r="M13" s="1">
        <v>0.1</v>
      </c>
    </row>
    <row r="14" spans="1:13" x14ac:dyDescent="0.35">
      <c r="A14" s="2" t="s">
        <v>12</v>
      </c>
      <c r="B14" s="2" t="s">
        <v>50</v>
      </c>
      <c r="C14" s="2" t="s">
        <v>51</v>
      </c>
      <c r="D14" s="2" t="str">
        <f t="shared" si="0"/>
        <v>Door Sensor Board V2 [R12]</v>
      </c>
      <c r="E14" s="2" t="s">
        <v>65</v>
      </c>
      <c r="F14" s="1">
        <v>1</v>
      </c>
      <c r="G14" s="2" t="s">
        <v>53</v>
      </c>
      <c r="H14" s="2" t="s">
        <v>66</v>
      </c>
      <c r="I14" s="2" t="s">
        <v>17</v>
      </c>
      <c r="J14" s="2" t="s">
        <v>18</v>
      </c>
      <c r="K14" s="2" t="s">
        <v>67</v>
      </c>
      <c r="L14" s="1">
        <v>0.1</v>
      </c>
      <c r="M14" s="1">
        <v>0.1</v>
      </c>
    </row>
    <row r="15" spans="1:13" x14ac:dyDescent="0.35">
      <c r="A15" s="2" t="s">
        <v>12</v>
      </c>
      <c r="B15" s="2" t="s">
        <v>68</v>
      </c>
      <c r="C15" s="2" t="s">
        <v>69</v>
      </c>
      <c r="D15" s="2" t="str">
        <f t="shared" si="0"/>
        <v>Door Sensor Board V2 [S1]</v>
      </c>
      <c r="E15" s="2" t="s">
        <v>70</v>
      </c>
      <c r="F15" s="1">
        <v>1</v>
      </c>
      <c r="G15" s="1"/>
      <c r="H15" s="1"/>
      <c r="I15" s="1"/>
      <c r="J15" s="1"/>
      <c r="K15" s="1"/>
      <c r="L15" s="1"/>
      <c r="M15" s="1"/>
    </row>
    <row r="16" spans="1:13" x14ac:dyDescent="0.35">
      <c r="A16" s="2" t="s">
        <v>12</v>
      </c>
      <c r="B16" s="2" t="s">
        <v>71</v>
      </c>
      <c r="C16" s="2" t="s">
        <v>12</v>
      </c>
      <c r="D16" s="2" t="str">
        <f t="shared" si="0"/>
        <v>Door Sensor Board V2 [S2, S3]</v>
      </c>
      <c r="E16" s="2" t="s">
        <v>72</v>
      </c>
      <c r="F16" s="1">
        <v>2</v>
      </c>
      <c r="G16" s="2" t="s">
        <v>73</v>
      </c>
      <c r="H16" s="2" t="s">
        <v>74</v>
      </c>
      <c r="I16" s="2" t="s">
        <v>17</v>
      </c>
      <c r="J16" s="2" t="s">
        <v>18</v>
      </c>
      <c r="K16" s="2" t="s">
        <v>75</v>
      </c>
      <c r="L16" s="1">
        <v>0.13</v>
      </c>
      <c r="M16" s="1">
        <v>0.26</v>
      </c>
    </row>
    <row r="17" spans="1:13" x14ac:dyDescent="0.35">
      <c r="A17" s="2" t="s">
        <v>12</v>
      </c>
      <c r="B17" s="2" t="s">
        <v>76</v>
      </c>
      <c r="C17" s="2" t="s">
        <v>77</v>
      </c>
      <c r="D17" s="2" t="str">
        <f t="shared" si="0"/>
        <v>Door Sensor Board V2 [U1]</v>
      </c>
      <c r="E17" s="2" t="s">
        <v>78</v>
      </c>
      <c r="F17" s="1">
        <v>1</v>
      </c>
      <c r="G17" s="2" t="s">
        <v>79</v>
      </c>
      <c r="H17" s="2" t="s">
        <v>80</v>
      </c>
      <c r="I17" s="2" t="s">
        <v>17</v>
      </c>
      <c r="J17" s="2" t="s">
        <v>18</v>
      </c>
      <c r="K17" s="2" t="s">
        <v>81</v>
      </c>
      <c r="L17" s="1">
        <v>5.77</v>
      </c>
      <c r="M17" s="1">
        <v>5.77</v>
      </c>
    </row>
    <row r="18" spans="1:13" x14ac:dyDescent="0.35">
      <c r="A18" s="2" t="s">
        <v>12</v>
      </c>
      <c r="B18" s="2" t="s">
        <v>82</v>
      </c>
      <c r="C18" s="2" t="s">
        <v>83</v>
      </c>
      <c r="D18" s="2" t="str">
        <f t="shared" si="0"/>
        <v>Door Sensor Board V2 [U2, U4]</v>
      </c>
      <c r="E18" s="2" t="s">
        <v>84</v>
      </c>
      <c r="F18" s="1">
        <v>2</v>
      </c>
      <c r="G18" s="2" t="s">
        <v>85</v>
      </c>
      <c r="H18" s="2" t="s">
        <v>83</v>
      </c>
      <c r="I18" s="2" t="s">
        <v>17</v>
      </c>
      <c r="J18" s="2" t="s">
        <v>18</v>
      </c>
      <c r="K18" s="2" t="s">
        <v>86</v>
      </c>
      <c r="L18" s="1">
        <v>2.89</v>
      </c>
      <c r="M18" s="1">
        <v>5.78</v>
      </c>
    </row>
    <row r="19" spans="1:13" x14ac:dyDescent="0.35">
      <c r="A19" s="2" t="s">
        <v>12</v>
      </c>
      <c r="B19" s="2" t="s">
        <v>87</v>
      </c>
      <c r="C19" s="2" t="s">
        <v>12</v>
      </c>
      <c r="D19" s="2" t="str">
        <f t="shared" si="0"/>
        <v>Door Sensor Board V2 [U3]</v>
      </c>
      <c r="E19" s="2" t="s">
        <v>88</v>
      </c>
      <c r="F19" s="1">
        <v>1</v>
      </c>
      <c r="G19" s="1"/>
      <c r="H19" s="1"/>
      <c r="I19" s="1"/>
      <c r="J19" s="1"/>
      <c r="K19" s="1"/>
      <c r="L19" s="1"/>
      <c r="M19" s="1"/>
    </row>
    <row r="20" spans="1:13" x14ac:dyDescent="0.35">
      <c r="A20" s="2" t="s">
        <v>12</v>
      </c>
      <c r="B20" s="2" t="s">
        <v>89</v>
      </c>
      <c r="C20" s="2" t="s">
        <v>90</v>
      </c>
      <c r="D20" s="2" t="str">
        <f t="shared" si="0"/>
        <v>Door Sensor Board V2 [U5]</v>
      </c>
      <c r="E20" s="2" t="s">
        <v>91</v>
      </c>
      <c r="F20" s="1">
        <v>1</v>
      </c>
      <c r="G20" s="2" t="s">
        <v>92</v>
      </c>
      <c r="H20" s="2" t="s">
        <v>90</v>
      </c>
      <c r="I20" s="2" t="s">
        <v>17</v>
      </c>
      <c r="J20" s="2" t="s">
        <v>18</v>
      </c>
      <c r="K20" s="2" t="s">
        <v>93</v>
      </c>
      <c r="L20" s="1">
        <v>2.0499999999999998</v>
      </c>
      <c r="M20" s="1">
        <v>2.0499999999999998</v>
      </c>
    </row>
    <row r="21" spans="1:13" x14ac:dyDescent="0.35">
      <c r="A21" s="2" t="s">
        <v>12</v>
      </c>
      <c r="B21" s="2" t="s">
        <v>94</v>
      </c>
      <c r="C21" s="2" t="s">
        <v>95</v>
      </c>
      <c r="D21" s="2" t="str">
        <f t="shared" si="0"/>
        <v>Door Sensor Board V2 [U6]</v>
      </c>
      <c r="E21" s="2" t="s">
        <v>96</v>
      </c>
      <c r="F21" s="1">
        <v>1</v>
      </c>
      <c r="G21" s="2" t="s">
        <v>97</v>
      </c>
      <c r="H21" s="2" t="s">
        <v>95</v>
      </c>
      <c r="I21" s="2" t="s">
        <v>17</v>
      </c>
      <c r="J21" s="2" t="s">
        <v>18</v>
      </c>
      <c r="K21" s="2" t="s">
        <v>98</v>
      </c>
      <c r="L21" s="1">
        <v>0.46</v>
      </c>
      <c r="M21" s="1">
        <v>0.46</v>
      </c>
    </row>
    <row r="22" spans="1:13" ht="29" x14ac:dyDescent="0.35">
      <c r="A22" s="2" t="s">
        <v>12</v>
      </c>
      <c r="B22" s="2" t="s">
        <v>99</v>
      </c>
      <c r="C22" s="3" t="s">
        <v>100</v>
      </c>
      <c r="D22" s="2" t="str">
        <f t="shared" si="0"/>
        <v>Door Sensor Board V2 [X1]</v>
      </c>
      <c r="E22" s="2" t="s">
        <v>101</v>
      </c>
      <c r="F22" s="1">
        <v>1</v>
      </c>
      <c r="G22" s="2" t="s">
        <v>102</v>
      </c>
      <c r="H22" s="2" t="s">
        <v>103</v>
      </c>
      <c r="I22" s="2" t="s">
        <v>17</v>
      </c>
      <c r="J22" s="2" t="s">
        <v>18</v>
      </c>
      <c r="K22" s="2" t="s">
        <v>104</v>
      </c>
      <c r="L22" s="1">
        <v>0.65</v>
      </c>
      <c r="M22" s="1">
        <v>0.65</v>
      </c>
    </row>
    <row r="23" spans="1:13" x14ac:dyDescent="0.35">
      <c r="A23" s="2" t="s">
        <v>12</v>
      </c>
      <c r="B23" s="2" t="s">
        <v>105</v>
      </c>
      <c r="C23" s="2" t="s">
        <v>12</v>
      </c>
      <c r="D23" s="2" t="str">
        <f t="shared" si="0"/>
        <v>Door Sensor Board V2 [X2]</v>
      </c>
      <c r="E23" s="2" t="s">
        <v>106</v>
      </c>
      <c r="F23" s="1">
        <v>1</v>
      </c>
      <c r="G23" s="2" t="s">
        <v>102</v>
      </c>
      <c r="H23" s="2" t="s">
        <v>107</v>
      </c>
      <c r="I23" s="2" t="s">
        <v>17</v>
      </c>
      <c r="J23" s="2" t="s">
        <v>18</v>
      </c>
      <c r="K23" s="2" t="s">
        <v>108</v>
      </c>
      <c r="L23" s="1">
        <v>0.62</v>
      </c>
      <c r="M23" s="1">
        <v>0.62</v>
      </c>
    </row>
    <row r="24" spans="1:13" x14ac:dyDescent="0.35">
      <c r="A24" s="2" t="s">
        <v>12</v>
      </c>
      <c r="B24" s="2" t="s">
        <v>109</v>
      </c>
      <c r="C24" s="2" t="s">
        <v>12</v>
      </c>
      <c r="D24" s="2" t="str">
        <f>"Door Sensor Board V2 [" &amp; E24 &amp; "]"</f>
        <v>Door Sensor Board V2 [X3]</v>
      </c>
      <c r="E24" s="2" t="s">
        <v>110</v>
      </c>
      <c r="F24" s="1">
        <v>1</v>
      </c>
      <c r="G24" s="2" t="s">
        <v>102</v>
      </c>
      <c r="H24" s="2" t="s">
        <v>111</v>
      </c>
      <c r="I24" s="2" t="s">
        <v>17</v>
      </c>
      <c r="J24" s="2" t="s">
        <v>18</v>
      </c>
      <c r="K24" s="2" t="s">
        <v>112</v>
      </c>
      <c r="L24" s="1">
        <v>0.4</v>
      </c>
      <c r="M24" s="1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Door Sensor PCB V2</vt:lpstr>
      <vt:lpstr>'Door Sensor PCB V2'!Print_Titles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2025-12-05T03:19:16Z</dcterms:created>
  <dcterms:modified xsi:type="dcterms:W3CDTF">2025-12-05T03:20:16Z</dcterms:modified>
</cp:coreProperties>
</file>