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Downloads\"/>
    </mc:Choice>
  </mc:AlternateContent>
  <xr:revisionPtr revIDLastSave="0" documentId="13_ncr:1_{1BB7EB31-5BAD-447F-A4BA-685E7E82B0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I53" i="1"/>
</calcChain>
</file>

<file path=xl/sharedStrings.xml><?xml version="1.0" encoding="utf-8"?>
<sst xmlns="http://schemas.openxmlformats.org/spreadsheetml/2006/main" count="245" uniqueCount="192">
  <si>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</si>
  <si>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</si>
  <si>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</si>
  <si>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</si>
  <si>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</si>
  <si>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</si>
  <si>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</si>
  <si>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</si>
  <si>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</si>
  <si>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</si>
  <si>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</si>
  <si>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door-sensor-pcb-v3.PrjPcb</t>
  </si>
  <si>
    <t>DesignItemId</t>
  </si>
  <si>
    <t>[Cap] Thru-Hole 270uF 20% 35V</t>
  </si>
  <si>
    <t>[Cap] Thru-Hole 47nF 20% 50V</t>
  </si>
  <si>
    <t>[Cap] 0603 10uF 20% 16V</t>
  </si>
  <si>
    <t>[Cap] 0603 0.1uF 10% 16V</t>
  </si>
  <si>
    <t>[Cap] 0603 4.7uF 10% 25V</t>
  </si>
  <si>
    <t>[Cap] 4mm 47uF 20% 50V</t>
  </si>
  <si>
    <t>[LED] Thru-Hole 3mm Yellow</t>
  </si>
  <si>
    <t>[LED] Thru-Hole 3mm Red</t>
  </si>
  <si>
    <t>[LED] Thru-Hole 3mm Green</t>
  </si>
  <si>
    <t>[LED] Thru-Hole 3mm White</t>
  </si>
  <si>
    <t>[LED] SMD 0805 Green</t>
  </si>
  <si>
    <t>[Header] 1x2 Male</t>
  </si>
  <si>
    <t>[Jumper] Thru-Hole 2pin</t>
  </si>
  <si>
    <t>[Ferrite] SMD 0805 3A 30ohm</t>
  </si>
  <si>
    <t>[LCD] 16x2 Parallel</t>
  </si>
  <si>
    <t>[Pi] Pico 2</t>
  </si>
  <si>
    <t>[10] Thru-Hole 5% 1/4W</t>
  </si>
  <si>
    <t>[Potentiometer] 10k 0.5W</t>
  </si>
  <si>
    <t>[100] SMD 0603 1% 1/10W</t>
  </si>
  <si>
    <t>[680] SMD 0603 1% 1/8W</t>
  </si>
  <si>
    <t>[10k] SMD 0603 1% 1/8W</t>
  </si>
  <si>
    <t>[15k] SMD 0603 1% 1/8W</t>
  </si>
  <si>
    <t>[200k] SMD 0603 1% 1/10W</t>
  </si>
  <si>
    <t>[300k] SMD 0603 1% 1/10W</t>
  </si>
  <si>
    <t>[220] SMD 0603 1% 1/10W</t>
  </si>
  <si>
    <t>[3.3k] SMD 0603 1% 1/10W</t>
  </si>
  <si>
    <t>[SPDT] Toggle</t>
  </si>
  <si>
    <t>[SPDT] Slide Switch</t>
  </si>
  <si>
    <t>[ToF] VL53L1X</t>
  </si>
  <si>
    <t>[THM] Thru-Hole</t>
  </si>
  <si>
    <t>[Amp] LM386</t>
  </si>
  <si>
    <t>[Level Shifter] I2C Level Shifter</t>
  </si>
  <si>
    <t>[Pi] Zero 2W</t>
  </si>
  <si>
    <t>[Linear] 3V3 1.5A</t>
  </si>
  <si>
    <t>[Linear] 1.8V 1A</t>
  </si>
  <si>
    <t>[Linear] 1.25-25V 3A</t>
  </si>
  <si>
    <t>[MP3] DFPlayer Mini MP3 Player</t>
  </si>
  <si>
    <t>[Screw Terminal] 2pin</t>
  </si>
  <si>
    <t>[Barrel] DC Jack 2mmID</t>
  </si>
  <si>
    <t>C1</t>
  </si>
  <si>
    <t>C2</t>
  </si>
  <si>
    <t>C3, C8, C9, C10, C14</t>
  </si>
  <si>
    <t>C4, C5, C6, C12, C15</t>
  </si>
  <si>
    <t>C7</t>
  </si>
  <si>
    <t>C11, C13</t>
  </si>
  <si>
    <t>D1</t>
  </si>
  <si>
    <t>D2</t>
  </si>
  <si>
    <t>D3</t>
  </si>
  <si>
    <t>D4</t>
  </si>
  <si>
    <t>D5</t>
  </si>
  <si>
    <t>H1, H2</t>
  </si>
  <si>
    <t>J1</t>
  </si>
  <si>
    <t>L1</t>
  </si>
  <si>
    <t>LCD1</t>
  </si>
  <si>
    <t>MCU1</t>
  </si>
  <si>
    <t>R1</t>
  </si>
  <si>
    <t>R2, R3, R4</t>
  </si>
  <si>
    <t>R5</t>
  </si>
  <si>
    <t>R6</t>
  </si>
  <si>
    <t>R7, R9, R13, R14</t>
  </si>
  <si>
    <t>R8</t>
  </si>
  <si>
    <t>R10, R15</t>
  </si>
  <si>
    <t>R11</t>
  </si>
  <si>
    <t>R12</t>
  </si>
  <si>
    <t>R16, R18, R19, R20, R21</t>
  </si>
  <si>
    <t>R17</t>
  </si>
  <si>
    <t>S1</t>
  </si>
  <si>
    <t>S2</t>
  </si>
  <si>
    <t>T1</t>
  </si>
  <si>
    <t>TP1, TP2, TP3, TP4, TP5</t>
  </si>
  <si>
    <t>U1</t>
  </si>
  <si>
    <t>U2</t>
  </si>
  <si>
    <t>U3</t>
  </si>
  <si>
    <t>V1</t>
  </si>
  <si>
    <t>V2</t>
  </si>
  <si>
    <t>V3</t>
  </si>
  <si>
    <t>X1</t>
  </si>
  <si>
    <t>X2</t>
  </si>
  <si>
    <t>X3</t>
  </si>
  <si>
    <t>Manufacturer 1</t>
  </si>
  <si>
    <t>Rubycon</t>
  </si>
  <si>
    <t>Yageo Group</t>
  </si>
  <si>
    <t>Murata</t>
  </si>
  <si>
    <t>Panasonic</t>
  </si>
  <si>
    <t>Wurth Elektronik</t>
  </si>
  <si>
    <t>QT Brightek</t>
  </si>
  <si>
    <t>Osram</t>
  </si>
  <si>
    <t>Bourns</t>
  </si>
  <si>
    <t>Raspberry Pi</t>
  </si>
  <si>
    <t>Vishay</t>
  </si>
  <si>
    <t>Stackpole Electronics</t>
  </si>
  <si>
    <t>TE Connectivity</t>
  </si>
  <si>
    <t>CIT Relay &amp; Switch</t>
  </si>
  <si>
    <t>EAO Switch</t>
  </si>
  <si>
    <t>STMicroelectronics</t>
  </si>
  <si>
    <t>Keystone</t>
  </si>
  <si>
    <t>Texas Instruments</t>
  </si>
  <si>
    <t>Diodes Inc.</t>
  </si>
  <si>
    <t>onsemi</t>
  </si>
  <si>
    <t>Microchip</t>
  </si>
  <si>
    <t>DFRobot</t>
  </si>
  <si>
    <t>Same Sky</t>
  </si>
  <si>
    <t>Manufacturer Part Number 1</t>
  </si>
  <si>
    <t>35ZLH270MEFC8X16</t>
  </si>
  <si>
    <t>C317C473M5U5TA</t>
  </si>
  <si>
    <t>GRM188C81C106MA73D</t>
  </si>
  <si>
    <t>CC0603KRX7R7BB104</t>
  </si>
  <si>
    <t>GRM188R61E475KE11D</t>
  </si>
  <si>
    <t>EEE-FN1A470UR</t>
  </si>
  <si>
    <t>151031YS05900</t>
  </si>
  <si>
    <t>151031SS06000</t>
  </si>
  <si>
    <t>151031VS06000</t>
  </si>
  <si>
    <t>QBL7IW60D-WW</t>
  </si>
  <si>
    <t>LG R971-KN-1-0-20-R18</t>
  </si>
  <si>
    <t>MH2029-300Y</t>
  </si>
  <si>
    <t>SC1631</t>
  </si>
  <si>
    <t>CFR-25JT-52-10R</t>
  </si>
  <si>
    <t>3386T-1-103LF</t>
  </si>
  <si>
    <t>RC0603FR-07100RL</t>
  </si>
  <si>
    <t>CRCW0603680RFKEA</t>
  </si>
  <si>
    <t>RMCF0603FT10K0</t>
  </si>
  <si>
    <t>CRCW060315K0FKEA</t>
  </si>
  <si>
    <t>RC0805JR-0710KL</t>
  </si>
  <si>
    <t>RC0603JR-07200KL</t>
  </si>
  <si>
    <t>CRCW0603300KFKEA</t>
  </si>
  <si>
    <t>CRGCQ0805F220R</t>
  </si>
  <si>
    <t>RC0603FR-073K3L</t>
  </si>
  <si>
    <t>ANT11TFHQE</t>
  </si>
  <si>
    <t>09.03290.01</t>
  </si>
  <si>
    <t>VL53L1CXV0FY/1</t>
  </si>
  <si>
    <t>LM386N-1/NOPB</t>
  </si>
  <si>
    <t>PCA9306DCTR</t>
  </si>
  <si>
    <t>AP7362A-33SP-13</t>
  </si>
  <si>
    <t>NCP1117IST18T3G</t>
  </si>
  <si>
    <t>MIC29302WT</t>
  </si>
  <si>
    <t>DFR0299</t>
  </si>
  <si>
    <t>TB002-500-02BE</t>
  </si>
  <si>
    <t>PJ-102A</t>
  </si>
  <si>
    <t>Supplier 1</t>
  </si>
  <si>
    <t>DigiKey</t>
  </si>
  <si>
    <t>Supplier Part Number 1</t>
  </si>
  <si>
    <t>1189-1748-ND</t>
  </si>
  <si>
    <t>399-4246-ND</t>
  </si>
  <si>
    <t>490-7198-1-ND</t>
  </si>
  <si>
    <t>311-1088-6-ND</t>
  </si>
  <si>
    <t>490-7203-6-ND</t>
  </si>
  <si>
    <t>10-EEE-FN1A470URCT-ND</t>
  </si>
  <si>
    <t>732-5009-ND</t>
  </si>
  <si>
    <t>732-5006-ND</t>
  </si>
  <si>
    <t>732-5008-ND</t>
  </si>
  <si>
    <t>1516-QBL7IW60D-WW-ND</t>
  </si>
  <si>
    <t>475-LGR971-KN-1CT-ND</t>
  </si>
  <si>
    <t>MH2029-300YCT-ND</t>
  </si>
  <si>
    <t>2648-SC1631TR-ND</t>
  </si>
  <si>
    <t>13-CFR-25JT-52-10RCT-ND</t>
  </si>
  <si>
    <t>118-3386T-1-103LF-ND</t>
  </si>
  <si>
    <t>311-100HRDKR-ND</t>
  </si>
  <si>
    <t>541-680HCT-ND</t>
  </si>
  <si>
    <t>RMCF0603FT10K0DKR-ND</t>
  </si>
  <si>
    <t>541-15.0KHCT-ND</t>
  </si>
  <si>
    <t>311-10KARCT-ND</t>
  </si>
  <si>
    <t>311-200KGRCT-ND</t>
  </si>
  <si>
    <t>541-300KHCT-ND</t>
  </si>
  <si>
    <t>A129741CT-ND</t>
  </si>
  <si>
    <t>311-3.30KHRCT-ND</t>
  </si>
  <si>
    <t>2449-ANT11TFHQE-ND</t>
  </si>
  <si>
    <t>1948-1087-ND</t>
  </si>
  <si>
    <t>497-17764-1-ND</t>
  </si>
  <si>
    <t>36-5012-ND</t>
  </si>
  <si>
    <t>296-44414-5-ND</t>
  </si>
  <si>
    <t>296-18509-1-ND</t>
  </si>
  <si>
    <t>AP7362A-33SP-13DICT-ND</t>
  </si>
  <si>
    <t>488-NCP1117IST18T3GCT-ND</t>
  </si>
  <si>
    <t>576-1124-ND</t>
  </si>
  <si>
    <t>1738-1041-ND</t>
  </si>
  <si>
    <t>102-6145-ND</t>
  </si>
  <si>
    <t>CP-102A-ND</t>
  </si>
  <si>
    <t>Supplier Unit Price 1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</si>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</sst>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0"/>
  <sheetViews>
    <sheetView showGridLines="0" tabSelected="1" topLeftCell="A19" zoomScale="95" zoomScaleNormal="85" workbookViewId="0">
      <selection activeCell="D46" sqref="D46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92</v>
      </c>
      <c r="E12" s="7" t="s">
        <v>115</v>
      </c>
      <c r="F12" s="7" t="s">
        <v>151</v>
      </c>
      <c r="G12" s="7" t="s">
        <v>153</v>
      </c>
      <c r="H12" s="7" t="s">
        <v>190</v>
      </c>
      <c r="I12" s="8" t="s">
        <v>8</v>
      </c>
      <c r="J12" s="3"/>
    </row>
    <row r="13" spans="1:10" x14ac:dyDescent="0.35">
      <c r="B13" s="20" t="s">
        <v>13</v>
      </c>
      <c r="C13" s="16" t="s">
        <v>52</v>
      </c>
      <c r="D13" s="17" t="s">
        <v>93</v>
      </c>
      <c r="E13" s="17" t="s">
        <v>116</v>
      </c>
      <c r="F13" s="17" t="s">
        <v>152</v>
      </c>
      <c r="G13" s="17" t="s">
        <v>154</v>
      </c>
      <c r="H13" s="11">
        <v>0.57999999999999996</v>
      </c>
      <c r="I13" s="9">
        <v>1</v>
      </c>
      <c r="J13" s="3"/>
    </row>
    <row r="14" spans="1:10" x14ac:dyDescent="0.35">
      <c r="B14" s="20" t="s">
        <v>14</v>
      </c>
      <c r="C14" s="16" t="s">
        <v>53</v>
      </c>
      <c r="D14" s="17" t="s">
        <v>94</v>
      </c>
      <c r="E14" s="17" t="s">
        <v>117</v>
      </c>
      <c r="F14" s="17" t="s">
        <v>152</v>
      </c>
      <c r="G14" s="17" t="s">
        <v>155</v>
      </c>
      <c r="H14" s="11">
        <v>0.31</v>
      </c>
      <c r="I14" s="9">
        <v>1</v>
      </c>
      <c r="J14" s="3"/>
    </row>
    <row r="15" spans="1:10" x14ac:dyDescent="0.35">
      <c r="B15" s="20" t="s">
        <v>15</v>
      </c>
      <c r="C15" s="16" t="s">
        <v>54</v>
      </c>
      <c r="D15" s="17" t="s">
        <v>95</v>
      </c>
      <c r="E15" s="17" t="s">
        <v>118</v>
      </c>
      <c r="F15" s="17" t="s">
        <v>152</v>
      </c>
      <c r="G15" s="17" t="s">
        <v>156</v>
      </c>
      <c r="H15" s="11">
        <v>0.24</v>
      </c>
      <c r="I15" s="9">
        <v>5</v>
      </c>
      <c r="J15" s="3"/>
    </row>
    <row r="16" spans="1:10" x14ac:dyDescent="0.35">
      <c r="B16" s="20" t="s">
        <v>16</v>
      </c>
      <c r="C16" s="16" t="s">
        <v>55</v>
      </c>
      <c r="D16" s="17" t="s">
        <v>94</v>
      </c>
      <c r="E16" s="17" t="s">
        <v>119</v>
      </c>
      <c r="F16" s="17" t="s">
        <v>152</v>
      </c>
      <c r="G16" s="17" t="s">
        <v>157</v>
      </c>
      <c r="H16" s="11">
        <v>3.6999999999999998E-2</v>
      </c>
      <c r="I16" s="9">
        <v>5</v>
      </c>
      <c r="J16" s="3"/>
    </row>
    <row r="17" spans="2:10" x14ac:dyDescent="0.35">
      <c r="B17" s="20" t="s">
        <v>17</v>
      </c>
      <c r="C17" s="16" t="s">
        <v>56</v>
      </c>
      <c r="D17" s="17" t="s">
        <v>95</v>
      </c>
      <c r="E17" s="17" t="s">
        <v>120</v>
      </c>
      <c r="F17" s="17" t="s">
        <v>152</v>
      </c>
      <c r="G17" s="17" t="s">
        <v>158</v>
      </c>
      <c r="H17" s="11">
        <v>0.23</v>
      </c>
      <c r="I17" s="9">
        <v>1</v>
      </c>
      <c r="J17" s="3"/>
    </row>
    <row r="18" spans="2:10" x14ac:dyDescent="0.35">
      <c r="B18" s="20" t="s">
        <v>18</v>
      </c>
      <c r="C18" s="16" t="s">
        <v>57</v>
      </c>
      <c r="D18" s="17" t="s">
        <v>96</v>
      </c>
      <c r="E18" s="17" t="s">
        <v>121</v>
      </c>
      <c r="F18" s="17" t="s">
        <v>152</v>
      </c>
      <c r="G18" s="17" t="s">
        <v>159</v>
      </c>
      <c r="H18" s="11">
        <v>0.45</v>
      </c>
      <c r="I18" s="9">
        <v>2</v>
      </c>
      <c r="J18" s="3"/>
    </row>
    <row r="19" spans="2:10" x14ac:dyDescent="0.35">
      <c r="B19" s="20" t="s">
        <v>19</v>
      </c>
      <c r="C19" s="16" t="s">
        <v>58</v>
      </c>
      <c r="D19" s="17" t="s">
        <v>97</v>
      </c>
      <c r="E19" s="17" t="s">
        <v>122</v>
      </c>
      <c r="F19" s="17" t="s">
        <v>152</v>
      </c>
      <c r="G19" s="17" t="s">
        <v>160</v>
      </c>
      <c r="H19" s="11">
        <v>0.18</v>
      </c>
      <c r="I19" s="9">
        <v>1</v>
      </c>
      <c r="J19" s="3"/>
    </row>
    <row r="20" spans="2:10" x14ac:dyDescent="0.35">
      <c r="B20" s="20" t="s">
        <v>20</v>
      </c>
      <c r="C20" s="16" t="s">
        <v>59</v>
      </c>
      <c r="D20" s="17" t="s">
        <v>97</v>
      </c>
      <c r="E20" s="17" t="s">
        <v>123</v>
      </c>
      <c r="F20" s="17" t="s">
        <v>152</v>
      </c>
      <c r="G20" s="17" t="s">
        <v>161</v>
      </c>
      <c r="H20" s="11">
        <v>0.18</v>
      </c>
      <c r="I20" s="9">
        <v>1</v>
      </c>
      <c r="J20" s="3"/>
    </row>
    <row r="21" spans="2:10" x14ac:dyDescent="0.35">
      <c r="B21" s="20" t="s">
        <v>21</v>
      </c>
      <c r="C21" s="16" t="s">
        <v>60</v>
      </c>
      <c r="D21" s="17" t="s">
        <v>97</v>
      </c>
      <c r="E21" s="17" t="s">
        <v>124</v>
      </c>
      <c r="F21" s="17" t="s">
        <v>152</v>
      </c>
      <c r="G21" s="17" t="s">
        <v>162</v>
      </c>
      <c r="H21" s="11">
        <v>0.17</v>
      </c>
      <c r="I21" s="9">
        <v>1</v>
      </c>
      <c r="J21" s="3"/>
    </row>
    <row r="22" spans="2:10" x14ac:dyDescent="0.35">
      <c r="B22" s="20" t="s">
        <v>22</v>
      </c>
      <c r="C22" s="16" t="s">
        <v>61</v>
      </c>
      <c r="D22" s="17" t="s">
        <v>98</v>
      </c>
      <c r="E22" s="17" t="s">
        <v>125</v>
      </c>
      <c r="F22" s="17" t="s">
        <v>152</v>
      </c>
      <c r="G22" s="17" t="s">
        <v>163</v>
      </c>
      <c r="H22" s="11">
        <v>0.62</v>
      </c>
      <c r="I22" s="9">
        <v>1</v>
      </c>
      <c r="J22" s="3"/>
    </row>
    <row r="23" spans="2:10" x14ac:dyDescent="0.35">
      <c r="B23" s="20" t="s">
        <v>23</v>
      </c>
      <c r="C23" s="16" t="s">
        <v>62</v>
      </c>
      <c r="D23" s="17" t="s">
        <v>99</v>
      </c>
      <c r="E23" s="17" t="s">
        <v>126</v>
      </c>
      <c r="F23" s="17" t="s">
        <v>152</v>
      </c>
      <c r="G23" s="17" t="s">
        <v>164</v>
      </c>
      <c r="H23" s="11">
        <v>0.16</v>
      </c>
      <c r="I23" s="9">
        <v>1</v>
      </c>
      <c r="J23" s="3"/>
    </row>
    <row r="24" spans="2:10" x14ac:dyDescent="0.35">
      <c r="B24" s="20" t="s">
        <v>24</v>
      </c>
      <c r="C24" s="16" t="s">
        <v>63</v>
      </c>
      <c r="D24" s="17"/>
      <c r="E24" s="17"/>
      <c r="F24" s="17"/>
      <c r="G24" s="17"/>
      <c r="H24" s="11"/>
      <c r="I24" s="9">
        <v>2</v>
      </c>
      <c r="J24" s="3"/>
    </row>
    <row r="25" spans="2:10" x14ac:dyDescent="0.35">
      <c r="B25" s="20" t="s">
        <v>25</v>
      </c>
      <c r="C25" s="16" t="s">
        <v>64</v>
      </c>
      <c r="D25" s="17"/>
      <c r="E25" s="17"/>
      <c r="F25" s="17"/>
      <c r="G25" s="17"/>
      <c r="H25" s="11"/>
      <c r="I25" s="9">
        <v>1</v>
      </c>
      <c r="J25" s="3"/>
    </row>
    <row r="26" spans="2:10" x14ac:dyDescent="0.35">
      <c r="B26" s="20" t="s">
        <v>26</v>
      </c>
      <c r="C26" s="16" t="s">
        <v>65</v>
      </c>
      <c r="D26" s="17" t="s">
        <v>100</v>
      </c>
      <c r="E26" s="17" t="s">
        <v>127</v>
      </c>
      <c r="F26" s="17" t="s">
        <v>152</v>
      </c>
      <c r="G26" s="17" t="s">
        <v>165</v>
      </c>
      <c r="H26" s="11">
        <v>0.1</v>
      </c>
      <c r="I26" s="9">
        <v>1</v>
      </c>
      <c r="J26" s="3"/>
    </row>
    <row r="27" spans="2:10" x14ac:dyDescent="0.35">
      <c r="B27" s="20" t="s">
        <v>27</v>
      </c>
      <c r="C27" s="16" t="s">
        <v>66</v>
      </c>
      <c r="D27" s="17"/>
      <c r="E27" s="17"/>
      <c r="F27" s="17" t="s">
        <v>191</v>
      </c>
      <c r="G27" s="17"/>
      <c r="H27" s="11">
        <v>5.49</v>
      </c>
      <c r="I27" s="9">
        <v>1</v>
      </c>
      <c r="J27" s="3"/>
    </row>
    <row r="28" spans="2:10" x14ac:dyDescent="0.35">
      <c r="B28" s="20" t="s">
        <v>28</v>
      </c>
      <c r="C28" s="16" t="s">
        <v>67</v>
      </c>
      <c r="D28" s="17" t="s">
        <v>101</v>
      </c>
      <c r="E28" s="17" t="s">
        <v>128</v>
      </c>
      <c r="F28" s="17" t="s">
        <v>152</v>
      </c>
      <c r="G28" s="17" t="s">
        <v>166</v>
      </c>
      <c r="H28" s="11">
        <v>5</v>
      </c>
      <c r="I28" s="9">
        <v>1</v>
      </c>
      <c r="J28" s="3"/>
    </row>
    <row r="29" spans="2:10" x14ac:dyDescent="0.35">
      <c r="B29" s="20" t="s">
        <v>29</v>
      </c>
      <c r="C29" s="16" t="s">
        <v>68</v>
      </c>
      <c r="D29" s="17" t="s">
        <v>94</v>
      </c>
      <c r="E29" s="17" t="s">
        <v>129</v>
      </c>
      <c r="F29" s="17" t="s">
        <v>152</v>
      </c>
      <c r="G29" s="17" t="s">
        <v>167</v>
      </c>
      <c r="H29" s="11">
        <v>0.1</v>
      </c>
      <c r="I29" s="9">
        <v>1</v>
      </c>
      <c r="J29" s="3"/>
    </row>
    <row r="30" spans="2:10" x14ac:dyDescent="0.35">
      <c r="B30" s="20" t="s">
        <v>30</v>
      </c>
      <c r="C30" s="16" t="s">
        <v>69</v>
      </c>
      <c r="D30" s="17" t="s">
        <v>100</v>
      </c>
      <c r="E30" s="17" t="s">
        <v>130</v>
      </c>
      <c r="F30" s="17" t="s">
        <v>152</v>
      </c>
      <c r="G30" s="17" t="s">
        <v>168</v>
      </c>
      <c r="H30" s="11">
        <v>1.54</v>
      </c>
      <c r="I30" s="9">
        <v>3</v>
      </c>
      <c r="J30" s="3"/>
    </row>
    <row r="31" spans="2:10" x14ac:dyDescent="0.35">
      <c r="B31" s="20" t="s">
        <v>31</v>
      </c>
      <c r="C31" s="16" t="s">
        <v>70</v>
      </c>
      <c r="D31" s="17" t="s">
        <v>94</v>
      </c>
      <c r="E31" s="17" t="s">
        <v>131</v>
      </c>
      <c r="F31" s="17" t="s">
        <v>152</v>
      </c>
      <c r="G31" s="17" t="s">
        <v>169</v>
      </c>
      <c r="H31" s="11">
        <v>0.1</v>
      </c>
      <c r="I31" s="9">
        <v>1</v>
      </c>
      <c r="J31" s="3"/>
    </row>
    <row r="32" spans="2:10" x14ac:dyDescent="0.35">
      <c r="B32" s="20" t="s">
        <v>32</v>
      </c>
      <c r="C32" s="16" t="s">
        <v>71</v>
      </c>
      <c r="D32" s="17" t="s">
        <v>102</v>
      </c>
      <c r="E32" s="17" t="s">
        <v>132</v>
      </c>
      <c r="F32" s="17" t="s">
        <v>152</v>
      </c>
      <c r="G32" s="17" t="s">
        <v>170</v>
      </c>
      <c r="H32" s="11">
        <v>0.1</v>
      </c>
      <c r="I32" s="9">
        <v>1</v>
      </c>
      <c r="J32" s="3"/>
    </row>
    <row r="33" spans="2:10" x14ac:dyDescent="0.35">
      <c r="B33" s="20" t="s">
        <v>33</v>
      </c>
      <c r="C33" s="16" t="s">
        <v>72</v>
      </c>
      <c r="D33" s="17" t="s">
        <v>103</v>
      </c>
      <c r="E33" s="17" t="s">
        <v>133</v>
      </c>
      <c r="F33" s="17" t="s">
        <v>152</v>
      </c>
      <c r="G33" s="17" t="s">
        <v>171</v>
      </c>
      <c r="H33" s="11">
        <v>2.1000000000000001E-2</v>
      </c>
      <c r="I33" s="9">
        <v>4</v>
      </c>
      <c r="J33" s="3"/>
    </row>
    <row r="34" spans="2:10" x14ac:dyDescent="0.35">
      <c r="B34" s="20" t="s">
        <v>34</v>
      </c>
      <c r="C34" s="16" t="s">
        <v>73</v>
      </c>
      <c r="D34" s="17" t="s">
        <v>102</v>
      </c>
      <c r="E34" s="17" t="s">
        <v>134</v>
      </c>
      <c r="F34" s="17" t="s">
        <v>152</v>
      </c>
      <c r="G34" s="17" t="s">
        <v>172</v>
      </c>
      <c r="H34" s="11">
        <v>0.1</v>
      </c>
      <c r="I34" s="9">
        <v>1</v>
      </c>
      <c r="J34" s="3"/>
    </row>
    <row r="35" spans="2:10" x14ac:dyDescent="0.35">
      <c r="B35" s="20" t="s">
        <v>33</v>
      </c>
      <c r="C35" s="16" t="s">
        <v>74</v>
      </c>
      <c r="D35" s="17" t="s">
        <v>94</v>
      </c>
      <c r="E35" s="17" t="s">
        <v>135</v>
      </c>
      <c r="F35" s="17" t="s">
        <v>152</v>
      </c>
      <c r="G35" s="17" t="s">
        <v>173</v>
      </c>
      <c r="H35" s="11">
        <v>0.1</v>
      </c>
      <c r="I35" s="9">
        <v>2</v>
      </c>
      <c r="J35" s="3"/>
    </row>
    <row r="36" spans="2:10" x14ac:dyDescent="0.35">
      <c r="B36" s="20" t="s">
        <v>35</v>
      </c>
      <c r="C36" s="16" t="s">
        <v>75</v>
      </c>
      <c r="D36" s="17" t="s">
        <v>94</v>
      </c>
      <c r="E36" s="17" t="s">
        <v>136</v>
      </c>
      <c r="F36" s="17" t="s">
        <v>152</v>
      </c>
      <c r="G36" s="17" t="s">
        <v>174</v>
      </c>
      <c r="H36" s="11">
        <v>0.1</v>
      </c>
      <c r="I36" s="9">
        <v>1</v>
      </c>
      <c r="J36" s="3"/>
    </row>
    <row r="37" spans="2:10" x14ac:dyDescent="0.35">
      <c r="B37" s="20" t="s">
        <v>36</v>
      </c>
      <c r="C37" s="16" t="s">
        <v>76</v>
      </c>
      <c r="D37" s="17" t="s">
        <v>102</v>
      </c>
      <c r="E37" s="17" t="s">
        <v>137</v>
      </c>
      <c r="F37" s="17" t="s">
        <v>152</v>
      </c>
      <c r="G37" s="17" t="s">
        <v>175</v>
      </c>
      <c r="H37" s="11">
        <v>0.1</v>
      </c>
      <c r="I37" s="9">
        <v>1</v>
      </c>
      <c r="J37" s="3"/>
    </row>
    <row r="38" spans="2:10" x14ac:dyDescent="0.35">
      <c r="B38" s="20" t="s">
        <v>37</v>
      </c>
      <c r="C38" s="16" t="s">
        <v>77</v>
      </c>
      <c r="D38" s="17" t="s">
        <v>104</v>
      </c>
      <c r="E38" s="17" t="s">
        <v>138</v>
      </c>
      <c r="F38" s="17" t="s">
        <v>152</v>
      </c>
      <c r="G38" s="17" t="s">
        <v>176</v>
      </c>
      <c r="H38" s="11">
        <v>3.9E-2</v>
      </c>
      <c r="I38" s="9">
        <v>5</v>
      </c>
      <c r="J38" s="3"/>
    </row>
    <row r="39" spans="2:10" x14ac:dyDescent="0.35">
      <c r="B39" s="20" t="s">
        <v>38</v>
      </c>
      <c r="C39" s="16" t="s">
        <v>78</v>
      </c>
      <c r="D39" s="17" t="s">
        <v>94</v>
      </c>
      <c r="E39" s="17" t="s">
        <v>139</v>
      </c>
      <c r="F39" s="17" t="s">
        <v>152</v>
      </c>
      <c r="G39" s="17" t="s">
        <v>177</v>
      </c>
      <c r="H39" s="11">
        <v>0.1</v>
      </c>
      <c r="I39" s="9">
        <v>1</v>
      </c>
      <c r="J39" s="3"/>
    </row>
    <row r="40" spans="2:10" x14ac:dyDescent="0.35">
      <c r="B40" s="20" t="s">
        <v>39</v>
      </c>
      <c r="C40" s="16" t="s">
        <v>79</v>
      </c>
      <c r="D40" s="17" t="s">
        <v>105</v>
      </c>
      <c r="E40" s="17" t="s">
        <v>140</v>
      </c>
      <c r="F40" s="17" t="s">
        <v>152</v>
      </c>
      <c r="G40" s="17" t="s">
        <v>178</v>
      </c>
      <c r="H40" s="11">
        <v>2.4700000000000002</v>
      </c>
      <c r="I40" s="9">
        <v>1</v>
      </c>
      <c r="J40" s="3"/>
    </row>
    <row r="41" spans="2:10" x14ac:dyDescent="0.35">
      <c r="B41" s="20" t="s">
        <v>40</v>
      </c>
      <c r="C41" s="16" t="s">
        <v>80</v>
      </c>
      <c r="D41" s="17" t="s">
        <v>106</v>
      </c>
      <c r="E41" s="17" t="s">
        <v>141</v>
      </c>
      <c r="F41" s="17" t="s">
        <v>152</v>
      </c>
      <c r="G41" s="17" t="s">
        <v>179</v>
      </c>
      <c r="H41" s="11">
        <v>1.72</v>
      </c>
      <c r="I41" s="9">
        <v>1</v>
      </c>
      <c r="J41" s="3"/>
    </row>
    <row r="42" spans="2:10" x14ac:dyDescent="0.35">
      <c r="B42" s="20" t="s">
        <v>41</v>
      </c>
      <c r="C42" s="16" t="s">
        <v>81</v>
      </c>
      <c r="D42" s="17" t="s">
        <v>107</v>
      </c>
      <c r="E42" s="17" t="s">
        <v>142</v>
      </c>
      <c r="F42" s="17" t="s">
        <v>152</v>
      </c>
      <c r="G42" s="17" t="s">
        <v>180</v>
      </c>
      <c r="H42" s="11">
        <v>6.05</v>
      </c>
      <c r="I42" s="9">
        <v>1</v>
      </c>
      <c r="J42" s="3"/>
    </row>
    <row r="43" spans="2:10" x14ac:dyDescent="0.35">
      <c r="B43" s="20" t="s">
        <v>42</v>
      </c>
      <c r="C43" s="16" t="s">
        <v>82</v>
      </c>
      <c r="D43" s="17" t="s">
        <v>108</v>
      </c>
      <c r="E43" s="17">
        <v>5012</v>
      </c>
      <c r="F43" s="17" t="s">
        <v>152</v>
      </c>
      <c r="G43" s="17" t="s">
        <v>181</v>
      </c>
      <c r="H43" s="11">
        <v>0.33</v>
      </c>
      <c r="I43" s="9">
        <v>5</v>
      </c>
      <c r="J43" s="3"/>
    </row>
    <row r="44" spans="2:10" x14ac:dyDescent="0.35">
      <c r="B44" s="20" t="s">
        <v>43</v>
      </c>
      <c r="C44" s="16" t="s">
        <v>83</v>
      </c>
      <c r="D44" s="17" t="s">
        <v>109</v>
      </c>
      <c r="E44" s="17" t="s">
        <v>143</v>
      </c>
      <c r="F44" s="17" t="s">
        <v>152</v>
      </c>
      <c r="G44" s="17" t="s">
        <v>182</v>
      </c>
      <c r="H44" s="11">
        <v>1.08</v>
      </c>
      <c r="I44" s="9">
        <v>1</v>
      </c>
      <c r="J44" s="3"/>
    </row>
    <row r="45" spans="2:10" x14ac:dyDescent="0.35">
      <c r="B45" s="20" t="s">
        <v>44</v>
      </c>
      <c r="C45" s="16" t="s">
        <v>84</v>
      </c>
      <c r="D45" s="17" t="s">
        <v>109</v>
      </c>
      <c r="E45" s="17" t="s">
        <v>144</v>
      </c>
      <c r="F45" s="17" t="s">
        <v>152</v>
      </c>
      <c r="G45" s="17" t="s">
        <v>183</v>
      </c>
      <c r="H45" s="11">
        <v>0.69</v>
      </c>
      <c r="I45" s="9">
        <v>1</v>
      </c>
      <c r="J45" s="3"/>
    </row>
    <row r="46" spans="2:10" x14ac:dyDescent="0.35">
      <c r="B46" s="20" t="s">
        <v>45</v>
      </c>
      <c r="C46" s="16" t="s">
        <v>85</v>
      </c>
      <c r="D46" s="17"/>
      <c r="E46" s="17"/>
      <c r="F46" s="17"/>
      <c r="G46" s="17" t="s">
        <v>191</v>
      </c>
      <c r="H46" s="11">
        <v>23.89</v>
      </c>
      <c r="I46" s="9">
        <v>1</v>
      </c>
      <c r="J46" s="3"/>
    </row>
    <row r="47" spans="2:10" x14ac:dyDescent="0.35">
      <c r="B47" s="20" t="s">
        <v>46</v>
      </c>
      <c r="C47" s="16" t="s">
        <v>86</v>
      </c>
      <c r="D47" s="17" t="s">
        <v>110</v>
      </c>
      <c r="E47" s="17" t="s">
        <v>145</v>
      </c>
      <c r="F47" s="17" t="s">
        <v>152</v>
      </c>
      <c r="G47" s="17" t="s">
        <v>184</v>
      </c>
      <c r="H47" s="11">
        <v>0.48</v>
      </c>
      <c r="I47" s="9">
        <v>1</v>
      </c>
      <c r="J47" s="3"/>
    </row>
    <row r="48" spans="2:10" x14ac:dyDescent="0.35">
      <c r="B48" s="20" t="s">
        <v>47</v>
      </c>
      <c r="C48" s="16" t="s">
        <v>87</v>
      </c>
      <c r="D48" s="17" t="s">
        <v>111</v>
      </c>
      <c r="E48" s="17" t="s">
        <v>146</v>
      </c>
      <c r="F48" s="17" t="s">
        <v>152</v>
      </c>
      <c r="G48" s="17" t="s">
        <v>185</v>
      </c>
      <c r="H48" s="11">
        <v>0.48</v>
      </c>
      <c r="I48" s="9">
        <v>1</v>
      </c>
      <c r="J48" s="3"/>
    </row>
    <row r="49" spans="2:10" x14ac:dyDescent="0.35">
      <c r="B49" s="20" t="s">
        <v>48</v>
      </c>
      <c r="C49" s="16" t="s">
        <v>88</v>
      </c>
      <c r="D49" s="17" t="s">
        <v>112</v>
      </c>
      <c r="E49" s="17" t="s">
        <v>147</v>
      </c>
      <c r="F49" s="17" t="s">
        <v>152</v>
      </c>
      <c r="G49" s="17" t="s">
        <v>186</v>
      </c>
      <c r="H49" s="11">
        <v>2.89</v>
      </c>
      <c r="I49" s="9">
        <v>1</v>
      </c>
      <c r="J49" s="3"/>
    </row>
    <row r="50" spans="2:10" x14ac:dyDescent="0.35">
      <c r="B50" s="20" t="s">
        <v>49</v>
      </c>
      <c r="C50" s="16" t="s">
        <v>89</v>
      </c>
      <c r="D50" s="17" t="s">
        <v>113</v>
      </c>
      <c r="E50" s="17" t="s">
        <v>148</v>
      </c>
      <c r="F50" s="17" t="s">
        <v>152</v>
      </c>
      <c r="G50" s="17" t="s">
        <v>187</v>
      </c>
      <c r="H50" s="11">
        <v>5.9</v>
      </c>
      <c r="I50" s="9">
        <v>1</v>
      </c>
      <c r="J50" s="3"/>
    </row>
    <row r="51" spans="2:10" x14ac:dyDescent="0.35">
      <c r="B51" s="20" t="s">
        <v>50</v>
      </c>
      <c r="C51" s="16" t="s">
        <v>90</v>
      </c>
      <c r="D51" s="17" t="s">
        <v>114</v>
      </c>
      <c r="E51" s="17" t="s">
        <v>149</v>
      </c>
      <c r="F51" s="17" t="s">
        <v>152</v>
      </c>
      <c r="G51" s="17" t="s">
        <v>188</v>
      </c>
      <c r="H51" s="11">
        <v>0.33</v>
      </c>
      <c r="I51" s="9">
        <v>1</v>
      </c>
      <c r="J51" s="3"/>
    </row>
    <row r="52" spans="2:10" x14ac:dyDescent="0.35">
      <c r="B52" s="20" t="s">
        <v>51</v>
      </c>
      <c r="C52" s="16" t="s">
        <v>91</v>
      </c>
      <c r="D52" s="17" t="s">
        <v>114</v>
      </c>
      <c r="E52" s="17" t="s">
        <v>150</v>
      </c>
      <c r="F52" s="17" t="s">
        <v>152</v>
      </c>
      <c r="G52" s="17" t="s">
        <v>189</v>
      </c>
      <c r="H52" s="11">
        <v>0.66</v>
      </c>
      <c r="I52" s="9">
        <v>1</v>
      </c>
      <c r="J52" s="3"/>
    </row>
    <row r="53" spans="2:10" ht="15" thickBot="1" x14ac:dyDescent="0.4">
      <c r="B53" s="21"/>
      <c r="C53" s="6"/>
      <c r="D53" s="10"/>
      <c r="E53" s="10"/>
      <c r="F53" s="10"/>
      <c r="G53" s="10"/>
      <c r="H53" s="12">
        <f>SUM(H13:H52)</f>
        <v>63.116999999999983</v>
      </c>
      <c r="I53" s="10">
        <f>SUM(I13:I52)</f>
        <v>64</v>
      </c>
      <c r="J53" s="3"/>
    </row>
    <row r="54" spans="2:10" ht="15" thickBot="1" x14ac:dyDescent="0.4">
      <c r="I54" s="2"/>
    </row>
    <row r="55" spans="2:10" x14ac:dyDescent="0.35">
      <c r="B55" s="19" t="s">
        <v>1</v>
      </c>
      <c r="C55" s="2"/>
      <c r="D55" s="2"/>
      <c r="E55" s="2"/>
      <c r="F55" s="2"/>
      <c r="G55" s="2"/>
      <c r="H55" s="2"/>
      <c r="I55" s="13"/>
    </row>
    <row r="56" spans="2:10" x14ac:dyDescent="0.35">
      <c r="B56" s="3"/>
      <c r="I56" s="14"/>
    </row>
    <row r="57" spans="2:10" x14ac:dyDescent="0.35">
      <c r="B57" s="3"/>
      <c r="I57" s="14"/>
    </row>
    <row r="58" spans="2:10" x14ac:dyDescent="0.35">
      <c r="B58" s="3"/>
      <c r="I58" s="14"/>
    </row>
    <row r="59" spans="2:10" x14ac:dyDescent="0.35">
      <c r="B59" s="3"/>
      <c r="I59" s="14"/>
    </row>
    <row r="60" spans="2:10" ht="15" thickBot="1" x14ac:dyDescent="0.4">
      <c r="B60" s="5"/>
      <c r="C60" s="6"/>
      <c r="D60" s="6"/>
      <c r="E60" s="6"/>
      <c r="F60" s="6"/>
      <c r="G60" s="6"/>
      <c r="H60" s="6"/>
      <c r="I60" s="15"/>
    </row>
  </sheetData>
  <pageMargins left="0.25" right="0.25" top="0.75" bottom="0.7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2026-04-20T17:33:11Z</cp:lastPrinted>
  <dcterms:created xsi:type="dcterms:W3CDTF">2013-12-31T18:23:59Z</dcterms:created>
  <dcterms:modified xsi:type="dcterms:W3CDTF">2026-04-20T17:34:59Z</dcterms:modified>
</cp:coreProperties>
</file>