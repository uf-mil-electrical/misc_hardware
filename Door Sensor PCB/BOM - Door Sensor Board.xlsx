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\Downloads\"/>
    </mc:Choice>
  </mc:AlternateContent>
  <xr:revisionPtr revIDLastSave="0" documentId="13_ncr:1_{BFBA05CF-2CA0-4A6F-8719-407AA78F4DD1}" xr6:coauthVersionLast="47" xr6:coauthVersionMax="47" xr10:uidLastSave="{00000000-0000-0000-0000-000000000000}"/>
  <bookViews>
    <workbookView xWindow="-110" yWindow="-110" windowWidth="19420" windowHeight="11500" xr2:uid="{E26DCC1B-021E-4F8D-A96F-CD33DEA6B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</calcChain>
</file>

<file path=xl/sharedStrings.xml><?xml version="1.0" encoding="utf-8"?>
<sst xmlns="http://schemas.openxmlformats.org/spreadsheetml/2006/main" count="124" uniqueCount="88">
  <si>
    <t>Designator(s)</t>
  </si>
  <si>
    <t>U1</t>
  </si>
  <si>
    <t>ESP32-WROOM-32D</t>
  </si>
  <si>
    <t>Part Number</t>
  </si>
  <si>
    <t>Capactor</t>
  </si>
  <si>
    <t>IC</t>
  </si>
  <si>
    <t>Value</t>
  </si>
  <si>
    <t>100nF</t>
  </si>
  <si>
    <t>Resistor</t>
  </si>
  <si>
    <t>1k</t>
  </si>
  <si>
    <t>Size</t>
  </si>
  <si>
    <t>0805</t>
  </si>
  <si>
    <t>Switch</t>
  </si>
  <si>
    <t>S1</t>
  </si>
  <si>
    <t>Diode</t>
  </si>
  <si>
    <t>D1</t>
  </si>
  <si>
    <t>D2</t>
  </si>
  <si>
    <t>Red</t>
  </si>
  <si>
    <t>Green</t>
  </si>
  <si>
    <t>R4, R6</t>
  </si>
  <si>
    <t>U3</t>
  </si>
  <si>
    <t>DFPlayer Mini</t>
  </si>
  <si>
    <t>S2, S3</t>
  </si>
  <si>
    <t>C2</t>
  </si>
  <si>
    <t>4.7uF</t>
  </si>
  <si>
    <t>R1, R2, R3, R5, R7, R8 R11, R12</t>
  </si>
  <si>
    <t>U2</t>
  </si>
  <si>
    <t>47uF</t>
  </si>
  <si>
    <t>R10</t>
  </si>
  <si>
    <t>R9</t>
  </si>
  <si>
    <t>C1, C3, C5, C6, C8</t>
  </si>
  <si>
    <t>C4, C7</t>
  </si>
  <si>
    <t>U4</t>
  </si>
  <si>
    <t>MIC29302WT</t>
  </si>
  <si>
    <t>Port</t>
  </si>
  <si>
    <t>X1</t>
  </si>
  <si>
    <t>X2</t>
  </si>
  <si>
    <t>X3</t>
  </si>
  <si>
    <t>2pin Screw Term</t>
  </si>
  <si>
    <t>3pin Screw Term</t>
  </si>
  <si>
    <t>Headers</t>
  </si>
  <si>
    <t>H1</t>
  </si>
  <si>
    <t>2x8 male headers</t>
  </si>
  <si>
    <t>100SP1T2B4M6QE</t>
  </si>
  <si>
    <t>Bolts</t>
  </si>
  <si>
    <t>M3 mount bolts</t>
  </si>
  <si>
    <t>C0805C104K5RACTU</t>
  </si>
  <si>
    <t>0.1 µF ±10% 50V Ceramic Capacitor X7R 0805 (2012 Metric)</t>
  </si>
  <si>
    <t>Detailed Description</t>
  </si>
  <si>
    <t>GRM21BR61H475KE51L</t>
  </si>
  <si>
    <t>5mm</t>
  </si>
  <si>
    <t>EEE-FT1V470AR</t>
  </si>
  <si>
    <t>47 µF 35 V Aluminum Electrolytic Capacitors Radial, Can - SMD 360mOhm @ 100kHz 2000 Hrs @ 105°C</t>
  </si>
  <si>
    <t>4.7 µF ±10% 50V Ceramic Capacitor X5R 0805 (2012 Metric)</t>
  </si>
  <si>
    <t>ERA-6AEB102V</t>
  </si>
  <si>
    <t>1 kOhms ±0.1% 0.125W, 1/8W Chip Resistor 0805 (2012 Metric) Automotive AEC-Q200 Thin Film</t>
  </si>
  <si>
    <t>CR0805-JW-331ELF</t>
  </si>
  <si>
    <t>330 Ohms ±5% 0.125W, 1/8W Chip Resistor 0805 (2012 Metric) Moisture Resistant Thick Film</t>
  </si>
  <si>
    <t>Toggle Switch SPDT Through Hole, Right Angle</t>
  </si>
  <si>
    <t>1825910-6</t>
  </si>
  <si>
    <t>WP132XPGD</t>
  </si>
  <si>
    <t>Green 557nm LED Indication - Discrete 2.25V Radial</t>
  </si>
  <si>
    <t>WP132XIT</t>
  </si>
  <si>
    <t>Red 617nm LED Indication - Discrete 2V Radial</t>
  </si>
  <si>
    <t>PJ-102A</t>
  </si>
  <si>
    <t>Power Barrel Connector Jack 2.00mm ID (0.079"), 5.50mm OD (0.217") Through Hole, Right Angle</t>
  </si>
  <si>
    <t>TB002-500-02BE</t>
  </si>
  <si>
    <t>TB003-500-P03BE</t>
  </si>
  <si>
    <t>14k</t>
  </si>
  <si>
    <t>8.2k</t>
  </si>
  <si>
    <t>VL53L0CXV0DH/1</t>
  </si>
  <si>
    <t>Type</t>
  </si>
  <si>
    <t>Qty</t>
  </si>
  <si>
    <t>Total Price</t>
  </si>
  <si>
    <t>Linear Voltage Regulator IC Positive Adjustable 1 Output 3A TO-220-5</t>
  </si>
  <si>
    <t>Vendor</t>
  </si>
  <si>
    <t>Russell</t>
  </si>
  <si>
    <t>DigiKey</t>
  </si>
  <si>
    <t>14 kOhms ±0.1% 0.125W, 1/8W Chip Resistor 0805 (2012 Metric) Automotive AEC-Q200 Thin Film</t>
  </si>
  <si>
    <t>ERA-6AEB1402V</t>
  </si>
  <si>
    <t>RC0805FR-078K2L</t>
  </si>
  <si>
    <t>8.2 kOhms ±1% 0.125W, 1/8W Chip Resistor 0805 (2012 Metric) Moisture Resistant Thick Film</t>
  </si>
  <si>
    <t>Tactile Switch SPST-NO Top Actuated Through Hole</t>
  </si>
  <si>
    <t>N/A</t>
  </si>
  <si>
    <t>Lab</t>
  </si>
  <si>
    <t>Unit Price</t>
  </si>
  <si>
    <t>Mount1, Mount2, Mount3, Mount4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</si>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</sst>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###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64" fontId="0" fillId="0" borderId="0" xfId="0" quotePrefix="1" applyNumberForma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4" fontId="0" fillId="0" borderId="0" xfId="1" applyFont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12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64" formatCode="####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677D05-5511-492D-B5FB-8B99CE03BA51}" name="Table1" displayName="Table1" ref="A1:J21" totalsRowShown="0" headerRowDxfId="1" dataDxfId="2">
  <autoFilter ref="A1:J21" xr:uid="{BA677D05-5511-492D-B5FB-8B99CE03BA51}"/>
  <tableColumns count="10">
    <tableColumn id="1" xr3:uid="{A961CFE8-1448-4D02-9DE4-10B9EA293000}" name="Type" dataDxfId="11"/>
    <tableColumn id="2" xr3:uid="{26B497B4-512F-41D6-B354-0281C3E762DC}" name="Designator(s)" dataDxfId="10"/>
    <tableColumn id="3" xr3:uid="{CC226BC3-1948-4594-A737-9D1FA227D753}" name="Qty" dataDxfId="9"/>
    <tableColumn id="4" xr3:uid="{19D46D23-1D09-440B-88D6-E3AD5C281BC8}" name="Value" dataDxfId="8"/>
    <tableColumn id="5" xr3:uid="{44456CD9-F5EC-4F7C-8FE1-DEA3EC155F9E}" name="Detailed Description" dataDxfId="7"/>
    <tableColumn id="6" xr3:uid="{4AEFEFE9-6BE3-4AA4-AEE3-4CDA5C4473B1}" name="Part Number" dataDxfId="6"/>
    <tableColumn id="7" xr3:uid="{AAF908AD-5608-4B8B-A7C4-F6F6ED27BDE0}" name="Size" dataDxfId="5"/>
    <tableColumn id="8" xr3:uid="{BF94E55C-D0C6-4D19-B0EF-A9E2EC767526}" name="Unit Price" dataDxfId="4" dataCellStyle="Currency"/>
    <tableColumn id="9" xr3:uid="{61F6795A-F781-4ACD-8D29-FCEFE09CFA5D}" name="Total Price" dataDxfId="0" dataCellStyle="Currency">
      <calculatedColumnFormula>Table1[[#This Row],[Qty]]*Table1[[#This Row],[Unit Price]]</calculatedColumnFormula>
    </tableColumn>
    <tableColumn id="10" xr3:uid="{A6062DD3-9731-4101-9282-7F5CDCC8A4C3}" name="Vendor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787C3-BC5C-4313-B766-30FA3AE83D22}">
  <dimension ref="A1:M21"/>
  <sheetViews>
    <sheetView tabSelected="1" zoomScale="90" workbookViewId="0">
      <selection activeCell="L8" sqref="L8"/>
    </sheetView>
  </sheetViews>
  <sheetFormatPr defaultRowHeight="14.5" x14ac:dyDescent="0.35"/>
  <cols>
    <col min="1" max="1" width="16.54296875" style="1" customWidth="1"/>
    <col min="2" max="2" width="19" style="1" customWidth="1"/>
    <col min="3" max="3" width="7.26953125" style="1" customWidth="1"/>
    <col min="4" max="4" width="8.7265625" style="1"/>
    <col min="5" max="5" width="26.26953125" style="4" customWidth="1"/>
    <col min="6" max="6" width="22.81640625" style="1" customWidth="1"/>
    <col min="7" max="7" width="8.7265625" style="2"/>
    <col min="8" max="8" width="10.7265625" style="5" customWidth="1"/>
    <col min="9" max="9" width="12.26953125" style="5" customWidth="1"/>
    <col min="10" max="10" width="8.90625" style="1" customWidth="1"/>
    <col min="11" max="11" width="8.7265625" style="1"/>
    <col min="12" max="12" width="6.81640625" style="1" customWidth="1"/>
    <col min="13" max="13" width="15.1796875" style="1" customWidth="1"/>
    <col min="14" max="16384" width="8.7265625" style="1"/>
  </cols>
  <sheetData>
    <row r="1" spans="1:13" x14ac:dyDescent="0.35">
      <c r="A1" s="1" t="s">
        <v>71</v>
      </c>
      <c r="B1" s="1" t="s">
        <v>0</v>
      </c>
      <c r="C1" s="1" t="s">
        <v>72</v>
      </c>
      <c r="D1" s="1" t="s">
        <v>6</v>
      </c>
      <c r="E1" s="1" t="s">
        <v>48</v>
      </c>
      <c r="F1" s="1" t="s">
        <v>3</v>
      </c>
      <c r="G1" s="1" t="s">
        <v>10</v>
      </c>
      <c r="H1" s="1" t="s">
        <v>85</v>
      </c>
      <c r="I1" s="1" t="s">
        <v>73</v>
      </c>
      <c r="J1" s="1" t="s">
        <v>75</v>
      </c>
    </row>
    <row r="2" spans="1:13" x14ac:dyDescent="0.35">
      <c r="A2" s="1" t="s">
        <v>5</v>
      </c>
      <c r="B2" s="1" t="s">
        <v>1</v>
      </c>
      <c r="C2" s="1">
        <v>1</v>
      </c>
      <c r="F2" s="1" t="s">
        <v>2</v>
      </c>
      <c r="H2" s="5">
        <v>0</v>
      </c>
      <c r="I2" s="5">
        <f>Table1[[#This Row],[Qty]]*Table1[[#This Row],[Unit Price]]</f>
        <v>0</v>
      </c>
      <c r="J2" s="1" t="s">
        <v>76</v>
      </c>
    </row>
    <row r="3" spans="1:13" x14ac:dyDescent="0.35">
      <c r="A3" s="1" t="s">
        <v>5</v>
      </c>
      <c r="B3" s="1" t="s">
        <v>26</v>
      </c>
      <c r="C3" s="1">
        <v>1</v>
      </c>
      <c r="E3" s="4" t="s">
        <v>70</v>
      </c>
      <c r="F3" s="1" t="s">
        <v>70</v>
      </c>
      <c r="H3" s="5">
        <v>5.18</v>
      </c>
      <c r="I3" s="5">
        <f>Table1[[#This Row],[Qty]]*Table1[[#This Row],[Unit Price]]</f>
        <v>5.18</v>
      </c>
      <c r="J3" s="1" t="s">
        <v>77</v>
      </c>
    </row>
    <row r="4" spans="1:13" x14ac:dyDescent="0.35">
      <c r="A4" s="1" t="s">
        <v>5</v>
      </c>
      <c r="B4" s="1" t="s">
        <v>20</v>
      </c>
      <c r="C4" s="1">
        <v>1</v>
      </c>
      <c r="F4" s="1" t="s">
        <v>21</v>
      </c>
      <c r="H4" s="5">
        <v>0</v>
      </c>
      <c r="I4" s="5">
        <f>Table1[[#This Row],[Qty]]*Table1[[#This Row],[Unit Price]]</f>
        <v>0</v>
      </c>
      <c r="J4" s="1" t="s">
        <v>76</v>
      </c>
    </row>
    <row r="5" spans="1:13" ht="21" x14ac:dyDescent="0.35">
      <c r="A5" s="1" t="s">
        <v>5</v>
      </c>
      <c r="B5" s="1" t="s">
        <v>32</v>
      </c>
      <c r="C5" s="1">
        <v>1</v>
      </c>
      <c r="E5" s="4" t="s">
        <v>74</v>
      </c>
      <c r="F5" s="1" t="s">
        <v>33</v>
      </c>
      <c r="H5" s="5">
        <v>2.89</v>
      </c>
      <c r="I5" s="5">
        <f>Table1[[#This Row],[Qty]]*Table1[[#This Row],[Unit Price]]</f>
        <v>2.89</v>
      </c>
      <c r="J5" s="1" t="s">
        <v>77</v>
      </c>
      <c r="L5" s="1" t="s">
        <v>87</v>
      </c>
      <c r="M5" s="5">
        <f>SUM(I:I,I1)</f>
        <v>17.399999999999999</v>
      </c>
    </row>
    <row r="6" spans="1:13" ht="31.5" x14ac:dyDescent="0.35">
      <c r="A6" s="1" t="s">
        <v>4</v>
      </c>
      <c r="B6" s="1" t="s">
        <v>30</v>
      </c>
      <c r="C6" s="1">
        <v>5</v>
      </c>
      <c r="D6" s="1" t="s">
        <v>7</v>
      </c>
      <c r="E6" s="4" t="s">
        <v>47</v>
      </c>
      <c r="F6" s="1" t="s">
        <v>46</v>
      </c>
      <c r="G6" s="3" t="s">
        <v>11</v>
      </c>
      <c r="H6" s="5">
        <v>0.08</v>
      </c>
      <c r="I6" s="5">
        <f>Table1[[#This Row],[Qty]]*Table1[[#This Row],[Unit Price]]</f>
        <v>0.4</v>
      </c>
      <c r="J6" s="1" t="s">
        <v>77</v>
      </c>
    </row>
    <row r="7" spans="1:13" ht="31.5" x14ac:dyDescent="0.35">
      <c r="A7" s="1" t="s">
        <v>4</v>
      </c>
      <c r="B7" s="1" t="s">
        <v>23</v>
      </c>
      <c r="C7" s="1">
        <v>1</v>
      </c>
      <c r="D7" s="1" t="s">
        <v>24</v>
      </c>
      <c r="E7" s="4" t="s">
        <v>53</v>
      </c>
      <c r="F7" s="1" t="s">
        <v>49</v>
      </c>
      <c r="G7" s="3" t="s">
        <v>11</v>
      </c>
      <c r="H7" s="5">
        <v>0.19</v>
      </c>
      <c r="I7" s="5">
        <f>Table1[[#This Row],[Qty]]*Table1[[#This Row],[Unit Price]]</f>
        <v>0.19</v>
      </c>
      <c r="J7" s="1" t="s">
        <v>77</v>
      </c>
    </row>
    <row r="8" spans="1:13" ht="42" x14ac:dyDescent="0.35">
      <c r="A8" s="1" t="s">
        <v>4</v>
      </c>
      <c r="B8" s="1" t="s">
        <v>31</v>
      </c>
      <c r="C8" s="1">
        <v>2</v>
      </c>
      <c r="D8" s="1" t="s">
        <v>27</v>
      </c>
      <c r="E8" s="4" t="s">
        <v>52</v>
      </c>
      <c r="F8" s="1" t="s">
        <v>51</v>
      </c>
      <c r="G8" s="2" t="s">
        <v>50</v>
      </c>
      <c r="H8" s="5">
        <v>0.57999999999999996</v>
      </c>
      <c r="I8" s="5">
        <f>Table1[[#This Row],[Qty]]*Table1[[#This Row],[Unit Price]]</f>
        <v>1.1599999999999999</v>
      </c>
      <c r="J8" s="1" t="s">
        <v>77</v>
      </c>
    </row>
    <row r="9" spans="1:13" ht="31.5" x14ac:dyDescent="0.35">
      <c r="A9" s="1" t="s">
        <v>8</v>
      </c>
      <c r="B9" s="1" t="s">
        <v>25</v>
      </c>
      <c r="C9" s="1">
        <v>8</v>
      </c>
      <c r="D9" s="1" t="s">
        <v>9</v>
      </c>
      <c r="E9" s="4" t="s">
        <v>55</v>
      </c>
      <c r="F9" s="1" t="s">
        <v>54</v>
      </c>
      <c r="G9" s="3" t="s">
        <v>11</v>
      </c>
      <c r="H9" s="5">
        <v>0.1</v>
      </c>
      <c r="I9" s="5">
        <f>Table1[[#This Row],[Qty]]*Table1[[#This Row],[Unit Price]]</f>
        <v>0.8</v>
      </c>
      <c r="J9" s="1" t="s">
        <v>77</v>
      </c>
    </row>
    <row r="10" spans="1:13" ht="31.5" x14ac:dyDescent="0.35">
      <c r="A10" s="1" t="s">
        <v>8</v>
      </c>
      <c r="B10" s="1" t="s">
        <v>19</v>
      </c>
      <c r="C10" s="1">
        <v>2</v>
      </c>
      <c r="D10" s="1">
        <v>330</v>
      </c>
      <c r="E10" s="4" t="s">
        <v>57</v>
      </c>
      <c r="F10" s="1" t="s">
        <v>56</v>
      </c>
      <c r="G10" s="3" t="s">
        <v>11</v>
      </c>
      <c r="H10" s="5">
        <v>0.1</v>
      </c>
      <c r="I10" s="5">
        <f>Table1[[#This Row],[Qty]]*Table1[[#This Row],[Unit Price]]</f>
        <v>0.2</v>
      </c>
      <c r="J10" s="1" t="s">
        <v>77</v>
      </c>
    </row>
    <row r="11" spans="1:13" ht="31.5" x14ac:dyDescent="0.35">
      <c r="A11" s="1" t="s">
        <v>8</v>
      </c>
      <c r="B11" s="1" t="s">
        <v>28</v>
      </c>
      <c r="C11" s="1">
        <v>1</v>
      </c>
      <c r="D11" s="1" t="s">
        <v>68</v>
      </c>
      <c r="E11" s="4" t="s">
        <v>78</v>
      </c>
      <c r="F11" s="1" t="s">
        <v>79</v>
      </c>
      <c r="G11" s="3" t="s">
        <v>11</v>
      </c>
      <c r="H11" s="5">
        <v>0.1</v>
      </c>
      <c r="I11" s="5">
        <f>Table1[[#This Row],[Qty]]*Table1[[#This Row],[Unit Price]]</f>
        <v>0.1</v>
      </c>
      <c r="J11" s="1" t="s">
        <v>77</v>
      </c>
    </row>
    <row r="12" spans="1:13" ht="31.5" x14ac:dyDescent="0.35">
      <c r="A12" s="1" t="s">
        <v>8</v>
      </c>
      <c r="B12" s="1" t="s">
        <v>29</v>
      </c>
      <c r="C12" s="1">
        <v>1</v>
      </c>
      <c r="D12" s="1" t="s">
        <v>69</v>
      </c>
      <c r="E12" s="4" t="s">
        <v>81</v>
      </c>
      <c r="F12" s="1" t="s">
        <v>80</v>
      </c>
      <c r="G12" s="3" t="s">
        <v>11</v>
      </c>
      <c r="H12" s="5">
        <v>0.1</v>
      </c>
      <c r="I12" s="5">
        <f>Table1[[#This Row],[Qty]]*Table1[[#This Row],[Unit Price]]</f>
        <v>0.1</v>
      </c>
      <c r="J12" s="1" t="s">
        <v>77</v>
      </c>
    </row>
    <row r="13" spans="1:13" ht="21" x14ac:dyDescent="0.35">
      <c r="A13" s="1" t="s">
        <v>12</v>
      </c>
      <c r="B13" s="1" t="s">
        <v>13</v>
      </c>
      <c r="C13" s="1">
        <v>1</v>
      </c>
      <c r="E13" s="4" t="s">
        <v>58</v>
      </c>
      <c r="F13" s="1" t="s">
        <v>43</v>
      </c>
      <c r="H13" s="5">
        <v>3.95</v>
      </c>
      <c r="I13" s="5">
        <f>Table1[[#This Row],[Qty]]*Table1[[#This Row],[Unit Price]]</f>
        <v>3.95</v>
      </c>
      <c r="J13" s="1" t="s">
        <v>77</v>
      </c>
    </row>
    <row r="14" spans="1:13" ht="21" x14ac:dyDescent="0.35">
      <c r="A14" s="1" t="s">
        <v>12</v>
      </c>
      <c r="B14" s="1" t="s">
        <v>22</v>
      </c>
      <c r="C14" s="1">
        <v>2</v>
      </c>
      <c r="E14" s="4" t="s">
        <v>82</v>
      </c>
      <c r="F14" s="1" t="s">
        <v>59</v>
      </c>
      <c r="H14" s="5">
        <v>0.13</v>
      </c>
      <c r="I14" s="5">
        <f>Table1[[#This Row],[Qty]]*Table1[[#This Row],[Unit Price]]</f>
        <v>0.26</v>
      </c>
      <c r="J14" s="1" t="s">
        <v>77</v>
      </c>
    </row>
    <row r="15" spans="1:13" ht="21" x14ac:dyDescent="0.35">
      <c r="A15" s="1" t="s">
        <v>14</v>
      </c>
      <c r="B15" s="1" t="s">
        <v>15</v>
      </c>
      <c r="C15" s="1">
        <v>1</v>
      </c>
      <c r="D15" s="1" t="s">
        <v>18</v>
      </c>
      <c r="E15" s="4" t="s">
        <v>61</v>
      </c>
      <c r="F15" s="1" t="s">
        <v>60</v>
      </c>
      <c r="H15" s="5">
        <v>0.27</v>
      </c>
      <c r="I15" s="5">
        <f>Table1[[#This Row],[Qty]]*Table1[[#This Row],[Unit Price]]</f>
        <v>0.27</v>
      </c>
      <c r="J15" s="1" t="s">
        <v>77</v>
      </c>
    </row>
    <row r="16" spans="1:13" ht="21" x14ac:dyDescent="0.35">
      <c r="A16" s="1" t="s">
        <v>14</v>
      </c>
      <c r="B16" s="1" t="s">
        <v>16</v>
      </c>
      <c r="C16" s="1">
        <v>1</v>
      </c>
      <c r="D16" s="1" t="s">
        <v>17</v>
      </c>
      <c r="E16" s="4" t="s">
        <v>63</v>
      </c>
      <c r="F16" s="1" t="s">
        <v>62</v>
      </c>
      <c r="H16" s="5">
        <v>0.23</v>
      </c>
      <c r="I16" s="5">
        <f>Table1[[#This Row],[Qty]]*Table1[[#This Row],[Unit Price]]</f>
        <v>0.23</v>
      </c>
      <c r="J16" s="1" t="s">
        <v>77</v>
      </c>
    </row>
    <row r="17" spans="1:10" ht="31.5" x14ac:dyDescent="0.35">
      <c r="A17" s="1" t="s">
        <v>34</v>
      </c>
      <c r="B17" s="1" t="s">
        <v>35</v>
      </c>
      <c r="C17" s="1">
        <v>1</v>
      </c>
      <c r="E17" s="4" t="s">
        <v>65</v>
      </c>
      <c r="F17" s="1" t="s">
        <v>64</v>
      </c>
      <c r="H17" s="5">
        <v>0.65</v>
      </c>
      <c r="I17" s="5">
        <f>Table1[[#This Row],[Qty]]*Table1[[#This Row],[Unit Price]]</f>
        <v>0.65</v>
      </c>
      <c r="J17" s="1" t="s">
        <v>77</v>
      </c>
    </row>
    <row r="18" spans="1:10" x14ac:dyDescent="0.35">
      <c r="A18" s="1" t="s">
        <v>34</v>
      </c>
      <c r="B18" s="1" t="s">
        <v>36</v>
      </c>
      <c r="C18" s="1">
        <v>1</v>
      </c>
      <c r="E18" s="4" t="s">
        <v>39</v>
      </c>
      <c r="F18" s="1" t="s">
        <v>67</v>
      </c>
      <c r="H18" s="5">
        <v>0.62</v>
      </c>
      <c r="I18" s="5">
        <f>Table1[[#This Row],[Qty]]*Table1[[#This Row],[Unit Price]]</f>
        <v>0.62</v>
      </c>
      <c r="J18" s="1" t="s">
        <v>77</v>
      </c>
    </row>
    <row r="19" spans="1:10" x14ac:dyDescent="0.35">
      <c r="A19" s="1" t="s">
        <v>34</v>
      </c>
      <c r="B19" s="1" t="s">
        <v>37</v>
      </c>
      <c r="C19" s="1">
        <v>1</v>
      </c>
      <c r="E19" s="4" t="s">
        <v>38</v>
      </c>
      <c r="F19" s="1" t="s">
        <v>66</v>
      </c>
      <c r="H19" s="5">
        <v>0.4</v>
      </c>
      <c r="I19" s="5">
        <f>Table1[[#This Row],[Qty]]*Table1[[#This Row],[Unit Price]]</f>
        <v>0.4</v>
      </c>
      <c r="J19" s="1" t="s">
        <v>77</v>
      </c>
    </row>
    <row r="20" spans="1:10" x14ac:dyDescent="0.35">
      <c r="A20" s="1" t="s">
        <v>40</v>
      </c>
      <c r="B20" s="1" t="s">
        <v>41</v>
      </c>
      <c r="C20" s="1">
        <v>1</v>
      </c>
      <c r="E20" s="4" t="s">
        <v>42</v>
      </c>
      <c r="F20" s="1" t="s">
        <v>83</v>
      </c>
      <c r="H20" s="5">
        <v>0</v>
      </c>
      <c r="I20" s="5">
        <f>Table1[[#This Row],[Qty]]*Table1[[#This Row],[Unit Price]]</f>
        <v>0</v>
      </c>
      <c r="J20" s="1" t="s">
        <v>84</v>
      </c>
    </row>
    <row r="21" spans="1:10" ht="29" x14ac:dyDescent="0.35">
      <c r="A21" s="1" t="s">
        <v>44</v>
      </c>
      <c r="B21" s="1" t="s">
        <v>86</v>
      </c>
      <c r="C21" s="1">
        <v>4</v>
      </c>
      <c r="E21" s="4" t="s">
        <v>45</v>
      </c>
      <c r="F21" s="1" t="s">
        <v>83</v>
      </c>
      <c r="H21" s="5">
        <v>0</v>
      </c>
      <c r="I21" s="5">
        <f>Table1[[#This Row],[Qty]]*Table1[[#This Row],[Unit Price]]</f>
        <v>0</v>
      </c>
      <c r="J21" s="1" t="s">
        <v>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MacGregor, Russell</dc:creator>
  <cp:lastModifiedBy>MacGregor, Russell</cp:lastModifiedBy>
  <dcterms:created xsi:type="dcterms:W3CDTF">2025-10-02T17:30:46Z</dcterms:created>
  <dcterms:modified xsi:type="dcterms:W3CDTF">2025-10-08T16:35:41Z</dcterms:modified>
</cp:coreProperties>
</file>