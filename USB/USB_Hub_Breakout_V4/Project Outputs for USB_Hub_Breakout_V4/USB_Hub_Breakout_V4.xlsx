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\Repositories\MIL\misc_hardware\USB\USB_Hub_Breakout_V4\Project Outputs for USB_Hub_Breakout_V4\"/>
    </mc:Choice>
  </mc:AlternateContent>
  <xr:revisionPtr revIDLastSave="0" documentId="8_{5CDF72A6-EC08-4303-930D-645783EDF10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I36" i="1"/>
</calcChain>
</file>

<file path=xl/sharedStrings.xml><?xml version="1.0" encoding="utf-8"?>
<sst xmlns="http://schemas.openxmlformats.org/spreadsheetml/2006/main" count="153" uniqueCount="124">
  <si>
    <t>Bill of Materials</t>
  </si>
  <si>
    <t>Notes</t>
  </si>
  <si>
    <t>Part Number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</si>
  <si>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</si>
  <si>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</si>
  <si>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</si>
  <si>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</si>
  <si>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</si>
  <si>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</si>
  <si>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</si>
  <si>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Project Name:</t>
  </si>
  <si>
    <t>USB_Hub_Breakout_V4.PrjPcb</t>
  </si>
  <si>
    <t>DesignItemId</t>
  </si>
  <si>
    <t>[Cap] 0603 22pF 5% 50V</t>
  </si>
  <si>
    <t>[Cap] 0603 27pF 1% 50V</t>
  </si>
  <si>
    <t>[Cap] 0603 0.1uF 10% 50V</t>
  </si>
  <si>
    <t>[Cap] 0603 10uF 10% 10V</t>
  </si>
  <si>
    <t>[LED] SMD 0805 Green</t>
  </si>
  <si>
    <t>[TVS] 3.3Vnom 19Vclamp_max</t>
  </si>
  <si>
    <t>[Schottky] SMD 40V 1A</t>
  </si>
  <si>
    <t>[Zener] SMD 5.6V 1W 5%</t>
  </si>
  <si>
    <t>[PTC] SMD 1812 500mA</t>
  </si>
  <si>
    <t>[Header] 1x2 Male</t>
  </si>
  <si>
    <t>[Flash] 32x16b</t>
  </si>
  <si>
    <t>[15k] SMD 0603 1% 1/8W</t>
  </si>
  <si>
    <t>[27] SMD 0603 1% 1/10W</t>
  </si>
  <si>
    <t>[1k] SMD 0603 1% 1/10W</t>
  </si>
  <si>
    <t>[220] SMD 0603 5% 1/10W</t>
  </si>
  <si>
    <t>[47k] SMD 0603 1% 1/10W</t>
  </si>
  <si>
    <t>[1.5k] SMD 0603 1% 1/10W</t>
  </si>
  <si>
    <t>[THM] Thru-Hole</t>
  </si>
  <si>
    <t>[USB Hub] USB 2.0 4port</t>
  </si>
  <si>
    <t>[Linear] SMD 3V3 1.5A</t>
  </si>
  <si>
    <t>[USB] Type-A Dual</t>
  </si>
  <si>
    <t>[USB] Type-B Mini</t>
  </si>
  <si>
    <t>[Crystal] SMD 6MHz</t>
  </si>
  <si>
    <t>C1, C2, C3, C4, C5, C6, C7, C8, C13, C14</t>
  </si>
  <si>
    <t>C9, C10</t>
  </si>
  <si>
    <t>C11, C12, C17</t>
  </si>
  <si>
    <t>C15, C16</t>
  </si>
  <si>
    <t>D1</t>
  </si>
  <si>
    <t>D2</t>
  </si>
  <si>
    <t>D3, D5, D6</t>
  </si>
  <si>
    <t>D4</t>
  </si>
  <si>
    <t>F1</t>
  </si>
  <si>
    <t>H1</t>
  </si>
  <si>
    <t>M1</t>
  </si>
  <si>
    <t>R1, R2, R3, R4, R5, R6, R7, R8</t>
  </si>
  <si>
    <t>R9, R10, R11, R12, R13, R14, R15, R16, R20, R21</t>
  </si>
  <si>
    <t>R17, R22</t>
  </si>
  <si>
    <t>R18</t>
  </si>
  <si>
    <t>R19</t>
  </si>
  <si>
    <t>R23</t>
  </si>
  <si>
    <t>TP1, TP2</t>
  </si>
  <si>
    <t>U1</t>
  </si>
  <si>
    <t>V1</t>
  </si>
  <si>
    <t>X1, X2</t>
  </si>
  <si>
    <t>X3</t>
  </si>
  <si>
    <t>Y1</t>
  </si>
  <si>
    <t>Manufacturer 1</t>
  </si>
  <si>
    <t>Yageo Group</t>
  </si>
  <si>
    <t>Walsin Technologies</t>
  </si>
  <si>
    <t>Samsung Electro-Mechanics</t>
  </si>
  <si>
    <t>Osram</t>
  </si>
  <si>
    <t>Bourns</t>
  </si>
  <si>
    <t>MCC</t>
  </si>
  <si>
    <t>Diodes Inc.</t>
  </si>
  <si>
    <t>STMicroelectronics</t>
  </si>
  <si>
    <t>Vishay</t>
  </si>
  <si>
    <t>Stackpole Electronics</t>
  </si>
  <si>
    <t>KOA Speer</t>
  </si>
  <si>
    <t>Keystone</t>
  </si>
  <si>
    <t>Texas Instruments</t>
  </si>
  <si>
    <t>Kycon</t>
  </si>
  <si>
    <t>Samtec</t>
  </si>
  <si>
    <t>ECS International</t>
  </si>
  <si>
    <t>Manufacturer Part Number 1</t>
  </si>
  <si>
    <t>CC0603JRNPO9BN220</t>
  </si>
  <si>
    <t>0603N270F500CT</t>
  </si>
  <si>
    <t>CL10B104KB8NNNC</t>
  </si>
  <si>
    <t>CL10A106KP8NNNC</t>
  </si>
  <si>
    <t>LG R971-KN-1-0-20-R18</t>
  </si>
  <si>
    <t>CDSOD323-T03C</t>
  </si>
  <si>
    <t>B5819W-TP</t>
  </si>
  <si>
    <t>SMAZ5V6-13-F</t>
  </si>
  <si>
    <t>MF-MSMF050-2</t>
  </si>
  <si>
    <t>M93C46-WMN6TP</t>
  </si>
  <si>
    <t>CRCW060315K0FKEA</t>
  </si>
  <si>
    <t>MCT06030C2709FP500</t>
  </si>
  <si>
    <t>RMCF0603FT1K00</t>
  </si>
  <si>
    <t>RK73B1JTTD221J</t>
  </si>
  <si>
    <t>RC0603FR-0747KL</t>
  </si>
  <si>
    <t>CR0603-FX-1501ELF</t>
  </si>
  <si>
    <t>TUSB2046BVFR</t>
  </si>
  <si>
    <t>AP7362A-33SP-13</t>
  </si>
  <si>
    <t>KUSBX-AS2N-B</t>
  </si>
  <si>
    <t>MUSB-05-S-B-SM-A-K-TR</t>
  </si>
  <si>
    <t>ECS-060-18-20BM-JEN-TR</t>
  </si>
  <si>
    <t>Supplier 1</t>
  </si>
  <si>
    <t>DigiKey</t>
  </si>
  <si>
    <t>Supplier Part Number 1</t>
  </si>
  <si>
    <t>311-1062-1-ND</t>
  </si>
  <si>
    <t>1292-1510-1-ND</t>
  </si>
  <si>
    <t>1276-1000-6-ND</t>
  </si>
  <si>
    <t>1276-1192-6-ND</t>
  </si>
  <si>
    <t>475-LGR971-KN-1CT-ND</t>
  </si>
  <si>
    <t>CDSOD323-T03CDKR-ND</t>
  </si>
  <si>
    <t>B5819W-TPMSCT-ND</t>
  </si>
  <si>
    <t>SMAZ5V6-FDICT-ND</t>
  </si>
  <si>
    <t>MF-MSMF050-2DKR-ND</t>
  </si>
  <si>
    <t>497-5090-1-ND</t>
  </si>
  <si>
    <t>541-15.0KHCT-ND</t>
  </si>
  <si>
    <t>749-1631-1-ND</t>
  </si>
  <si>
    <t>RMCF0603FT1K00DKR-ND</t>
  </si>
  <si>
    <t>2019-RK73B1JTTD221JDKR-ND</t>
  </si>
  <si>
    <t>311-47.0KHRDKR-ND</t>
  </si>
  <si>
    <t>118-CR0603-FX-1501ELFCT-ND</t>
  </si>
  <si>
    <t>36-5012-ND</t>
  </si>
  <si>
    <t>296-27131-1-ND</t>
  </si>
  <si>
    <t>AP7362A-33SP-13DICT-ND</t>
  </si>
  <si>
    <t>2092-KUSBX-AS2N-B-ND</t>
  </si>
  <si>
    <t>SAM14226CT-ND</t>
  </si>
  <si>
    <t>XC2349DKR-ND</t>
  </si>
  <si>
    <t>Supplier Unit Price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</si>
</sst>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4" fillId="2" borderId="1" xfId="0" applyFont="1" applyFill="1" applyBorder="1"/>
    <xf numFmtId="0" fontId="4" fillId="2" borderId="7" xfId="0" applyFont="1" applyFill="1" applyBorder="1"/>
    <xf numFmtId="0" fontId="4" fillId="0" borderId="7" xfId="0" applyFont="1" applyBorder="1"/>
    <xf numFmtId="0" fontId="4" fillId="0" borderId="6" xfId="0" applyFont="1" applyBorder="1"/>
    <xf numFmtId="164" fontId="4" fillId="0" borderId="1" xfId="0" applyNumberFormat="1" applyFont="1" applyBorder="1"/>
    <xf numFmtId="164" fontId="4" fillId="0" borderId="6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2" xfId="1" applyFont="1" applyBorder="1" applyAlignment="1">
      <alignment vertical="center"/>
    </xf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0" xfId="0" applyFont="1"/>
    <xf numFmtId="0" fontId="0" fillId="0" borderId="13" xfId="0" applyBorder="1"/>
    <xf numFmtId="0" fontId="3" fillId="0" borderId="3" xfId="0" applyFont="1" applyBorder="1" applyAlignment="1">
      <alignment horizontal="right"/>
    </xf>
    <xf numFmtId="0" fontId="3" fillId="0" borderId="0" xfId="0" quotePrefix="1" applyFont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1337235</xdr:colOff>
      <xdr:row>0</xdr:row>
      <xdr:rowOff>104587</xdr:rowOff>
    </xdr:from>
    <xdr:to>
      <xdr:col>8</xdr:col>
      <xdr:colOff>597644</xdr:colOff>
      <xdr:row>9</xdr:row>
      <xdr:rowOff>119526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B0226-E291-30E8-9E2D-0B10AC81B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1353" y="104587"/>
          <a:ext cx="1897527" cy="1897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3"/>
  <sheetViews>
    <sheetView showGridLines="0" tabSelected="1" topLeftCell="A5" zoomScale="95" zoomScaleNormal="85" workbookViewId="0">
      <selection activeCell="D20" sqref="D20"/>
    </sheetView>
  </sheetViews>
  <sheetFormatPr defaultRowHeight="14.5" x14ac:dyDescent="0.35"/>
  <cols>
    <col min="2" max="2" width="15.1796875" customWidth="1"/>
    <col min="3" max="3" width="22.26953125" customWidth="1"/>
    <col min="4" max="4" width="17.54296875" customWidth="1"/>
    <col min="5" max="5" width="23.453125" customWidth="1"/>
    <col min="6" max="6" width="18.26953125" customWidth="1"/>
    <col min="7" max="7" width="21" customWidth="1"/>
    <col min="8" max="8" width="16.81640625" customWidth="1"/>
    <col min="9" max="9" width="8.7265625" customWidth="1"/>
    <col min="10" max="10" width="4.26953125" customWidth="1"/>
  </cols>
  <sheetData>
    <row r="1" spans="1:10" ht="15" thickBot="1" x14ac:dyDescent="0.4"/>
    <row r="2" spans="1:10" ht="30" x14ac:dyDescent="0.35">
      <c r="B2" s="19"/>
      <c r="C2" s="18" t="s">
        <v>0</v>
      </c>
      <c r="D2" s="2"/>
      <c r="E2" s="2"/>
      <c r="F2" s="2"/>
      <c r="G2" s="2"/>
      <c r="H2" s="2"/>
      <c r="I2" s="2"/>
      <c r="J2" s="3"/>
    </row>
    <row r="3" spans="1:10" x14ac:dyDescent="0.35">
      <c r="B3" s="3"/>
      <c r="J3" s="3"/>
    </row>
    <row r="4" spans="1:10" x14ac:dyDescent="0.35">
      <c r="A4" s="27"/>
      <c r="B4" s="28" t="s">
        <v>10</v>
      </c>
      <c r="C4" s="29" t="s">
        <v>11</v>
      </c>
      <c r="D4" s="26"/>
      <c r="J4" s="3"/>
    </row>
    <row r="5" spans="1:10" x14ac:dyDescent="0.35">
      <c r="B5" s="3"/>
      <c r="C5" s="26"/>
      <c r="J5" s="3"/>
    </row>
    <row r="6" spans="1:10" x14ac:dyDescent="0.35">
      <c r="B6" s="3"/>
      <c r="C6" s="26"/>
      <c r="J6" s="3"/>
    </row>
    <row r="7" spans="1:10" x14ac:dyDescent="0.35">
      <c r="B7" s="3"/>
      <c r="J7" s="3"/>
    </row>
    <row r="8" spans="1:10" x14ac:dyDescent="0.35">
      <c r="B8" s="3"/>
      <c r="J8" s="3"/>
    </row>
    <row r="9" spans="1:10" x14ac:dyDescent="0.35">
      <c r="B9" s="3"/>
      <c r="J9" s="3"/>
    </row>
    <row r="10" spans="1:10" x14ac:dyDescent="0.35">
      <c r="B10" s="3"/>
      <c r="J10" s="3"/>
    </row>
    <row r="11" spans="1:10" x14ac:dyDescent="0.35">
      <c r="B11" s="22" t="s">
        <v>2</v>
      </c>
      <c r="C11" s="23" t="s">
        <v>3</v>
      </c>
      <c r="D11" s="24" t="s">
        <v>4</v>
      </c>
      <c r="E11" s="24" t="s">
        <v>9</v>
      </c>
      <c r="F11" s="24" t="s">
        <v>5</v>
      </c>
      <c r="G11" s="24" t="s">
        <v>6</v>
      </c>
      <c r="H11" s="24" t="s">
        <v>7</v>
      </c>
      <c r="I11" s="25" t="s">
        <v>8</v>
      </c>
      <c r="J11" s="3"/>
    </row>
    <row r="12" spans="1:10" hidden="1" x14ac:dyDescent="0.35">
      <c r="B12" s="4" t="s">
        <v>12</v>
      </c>
      <c r="C12" s="1" t="s">
        <v>3</v>
      </c>
      <c r="D12" s="7" t="s">
        <v>59</v>
      </c>
      <c r="E12" s="7" t="s">
        <v>76</v>
      </c>
      <c r="F12" s="7" t="s">
        <v>98</v>
      </c>
      <c r="G12" s="7" t="s">
        <v>100</v>
      </c>
      <c r="H12" s="7" t="s">
        <v>123</v>
      </c>
      <c r="I12" s="8" t="s">
        <v>8</v>
      </c>
      <c r="J12" s="3"/>
    </row>
    <row r="13" spans="1:10" ht="29" x14ac:dyDescent="0.35">
      <c r="B13" s="20" t="s">
        <v>13</v>
      </c>
      <c r="C13" s="16" t="s">
        <v>36</v>
      </c>
      <c r="D13" s="17" t="s">
        <v>60</v>
      </c>
      <c r="E13" s="17" t="s">
        <v>77</v>
      </c>
      <c r="F13" s="17" t="s">
        <v>99</v>
      </c>
      <c r="G13" s="17" t="s">
        <v>101</v>
      </c>
      <c r="H13" s="11">
        <v>4.2999999999999997E-2</v>
      </c>
      <c r="I13" s="9">
        <v>10</v>
      </c>
      <c r="J13" s="3"/>
    </row>
    <row r="14" spans="1:10" x14ac:dyDescent="0.35">
      <c r="B14" s="20" t="s">
        <v>14</v>
      </c>
      <c r="C14" s="16" t="s">
        <v>37</v>
      </c>
      <c r="D14" s="17" t="s">
        <v>61</v>
      </c>
      <c r="E14" s="17" t="s">
        <v>78</v>
      </c>
      <c r="F14" s="17" t="s">
        <v>99</v>
      </c>
      <c r="G14" s="17" t="s">
        <v>102</v>
      </c>
      <c r="H14" s="11">
        <v>0.1</v>
      </c>
      <c r="I14" s="9">
        <v>2</v>
      </c>
      <c r="J14" s="3"/>
    </row>
    <row r="15" spans="1:10" ht="24.5" x14ac:dyDescent="0.35">
      <c r="B15" s="20" t="s">
        <v>15</v>
      </c>
      <c r="C15" s="16" t="s">
        <v>38</v>
      </c>
      <c r="D15" s="17" t="s">
        <v>62</v>
      </c>
      <c r="E15" s="17" t="s">
        <v>79</v>
      </c>
      <c r="F15" s="17" t="s">
        <v>99</v>
      </c>
      <c r="G15" s="17" t="s">
        <v>103</v>
      </c>
      <c r="H15" s="11">
        <v>2.7E-2</v>
      </c>
      <c r="I15" s="9">
        <v>3</v>
      </c>
      <c r="J15" s="3"/>
    </row>
    <row r="16" spans="1:10" ht="24.5" x14ac:dyDescent="0.35">
      <c r="B16" s="20" t="s">
        <v>16</v>
      </c>
      <c r="C16" s="16" t="s">
        <v>39</v>
      </c>
      <c r="D16" s="17" t="s">
        <v>62</v>
      </c>
      <c r="E16" s="17" t="s">
        <v>80</v>
      </c>
      <c r="F16" s="17" t="s">
        <v>99</v>
      </c>
      <c r="G16" s="17" t="s">
        <v>104</v>
      </c>
      <c r="H16" s="11">
        <v>0.18</v>
      </c>
      <c r="I16" s="9">
        <v>2</v>
      </c>
      <c r="J16" s="3"/>
    </row>
    <row r="17" spans="2:10" x14ac:dyDescent="0.35">
      <c r="B17" s="20" t="s">
        <v>17</v>
      </c>
      <c r="C17" s="16" t="s">
        <v>40</v>
      </c>
      <c r="D17" s="17" t="s">
        <v>63</v>
      </c>
      <c r="E17" s="17" t="s">
        <v>81</v>
      </c>
      <c r="F17" s="17" t="s">
        <v>99</v>
      </c>
      <c r="G17" s="17" t="s">
        <v>105</v>
      </c>
      <c r="H17" s="11">
        <v>0.16</v>
      </c>
      <c r="I17" s="9">
        <v>1</v>
      </c>
      <c r="J17" s="3"/>
    </row>
    <row r="18" spans="2:10" x14ac:dyDescent="0.35">
      <c r="B18" s="20" t="s">
        <v>18</v>
      </c>
      <c r="C18" s="16" t="s">
        <v>41</v>
      </c>
      <c r="D18" s="17" t="s">
        <v>64</v>
      </c>
      <c r="E18" s="17" t="s">
        <v>82</v>
      </c>
      <c r="F18" s="17" t="s">
        <v>99</v>
      </c>
      <c r="G18" s="17" t="s">
        <v>106</v>
      </c>
      <c r="H18" s="11">
        <v>1.1299999999999999</v>
      </c>
      <c r="I18" s="9">
        <v>1</v>
      </c>
      <c r="J18" s="3"/>
    </row>
    <row r="19" spans="2:10" x14ac:dyDescent="0.35">
      <c r="B19" s="20" t="s">
        <v>19</v>
      </c>
      <c r="C19" s="16" t="s">
        <v>42</v>
      </c>
      <c r="D19" s="17" t="s">
        <v>65</v>
      </c>
      <c r="E19" s="17" t="s">
        <v>83</v>
      </c>
      <c r="F19" s="17" t="s">
        <v>99</v>
      </c>
      <c r="G19" s="17" t="s">
        <v>107</v>
      </c>
      <c r="H19" s="11">
        <v>0.28000000000000003</v>
      </c>
      <c r="I19" s="9">
        <v>3</v>
      </c>
      <c r="J19" s="3"/>
    </row>
    <row r="20" spans="2:10" x14ac:dyDescent="0.35">
      <c r="B20" s="20" t="s">
        <v>20</v>
      </c>
      <c r="C20" s="16" t="s">
        <v>43</v>
      </c>
      <c r="D20" s="17" t="s">
        <v>66</v>
      </c>
      <c r="E20" s="17" t="s">
        <v>84</v>
      </c>
      <c r="F20" s="17" t="s">
        <v>99</v>
      </c>
      <c r="G20" s="17" t="s">
        <v>108</v>
      </c>
      <c r="H20" s="11">
        <v>0.59</v>
      </c>
      <c r="I20" s="9">
        <v>1</v>
      </c>
      <c r="J20" s="3"/>
    </row>
    <row r="21" spans="2:10" x14ac:dyDescent="0.35">
      <c r="B21" s="20" t="s">
        <v>21</v>
      </c>
      <c r="C21" s="16" t="s">
        <v>44</v>
      </c>
      <c r="D21" s="17" t="s">
        <v>64</v>
      </c>
      <c r="E21" s="17" t="s">
        <v>85</v>
      </c>
      <c r="F21" s="17" t="s">
        <v>99</v>
      </c>
      <c r="G21" s="17" t="s">
        <v>109</v>
      </c>
      <c r="H21" s="11">
        <v>0.38</v>
      </c>
      <c r="I21" s="9">
        <v>1</v>
      </c>
      <c r="J21" s="3"/>
    </row>
    <row r="22" spans="2:10" x14ac:dyDescent="0.35">
      <c r="B22" s="20" t="s">
        <v>22</v>
      </c>
      <c r="C22" s="16" t="s">
        <v>45</v>
      </c>
      <c r="D22" s="17"/>
      <c r="E22" s="17"/>
      <c r="F22" s="17"/>
      <c r="G22" s="17"/>
      <c r="H22" s="11"/>
      <c r="I22" s="9">
        <v>1</v>
      </c>
      <c r="J22" s="3"/>
    </row>
    <row r="23" spans="2:10" x14ac:dyDescent="0.35">
      <c r="B23" s="20" t="s">
        <v>23</v>
      </c>
      <c r="C23" s="16" t="s">
        <v>46</v>
      </c>
      <c r="D23" s="17" t="s">
        <v>67</v>
      </c>
      <c r="E23" s="17" t="s">
        <v>86</v>
      </c>
      <c r="F23" s="17" t="s">
        <v>99</v>
      </c>
      <c r="G23" s="17" t="s">
        <v>110</v>
      </c>
      <c r="H23" s="11">
        <v>0.24</v>
      </c>
      <c r="I23" s="9">
        <v>1</v>
      </c>
      <c r="J23" s="3"/>
    </row>
    <row r="24" spans="2:10" ht="29" x14ac:dyDescent="0.35">
      <c r="B24" s="20" t="s">
        <v>24</v>
      </c>
      <c r="C24" s="16" t="s">
        <v>47</v>
      </c>
      <c r="D24" s="17" t="s">
        <v>68</v>
      </c>
      <c r="E24" s="17" t="s">
        <v>87</v>
      </c>
      <c r="F24" s="17" t="s">
        <v>99</v>
      </c>
      <c r="G24" s="17" t="s">
        <v>111</v>
      </c>
      <c r="H24" s="11">
        <v>3.2000000000000001E-2</v>
      </c>
      <c r="I24" s="9">
        <v>8</v>
      </c>
      <c r="J24" s="3"/>
    </row>
    <row r="25" spans="2:10" ht="29" x14ac:dyDescent="0.35">
      <c r="B25" s="20" t="s">
        <v>25</v>
      </c>
      <c r="C25" s="16" t="s">
        <v>48</v>
      </c>
      <c r="D25" s="17" t="s">
        <v>68</v>
      </c>
      <c r="E25" s="17" t="s">
        <v>88</v>
      </c>
      <c r="F25" s="17" t="s">
        <v>99</v>
      </c>
      <c r="G25" s="17" t="s">
        <v>112</v>
      </c>
      <c r="H25" s="11">
        <v>3.7999999999999999E-2</v>
      </c>
      <c r="I25" s="9">
        <v>10</v>
      </c>
      <c r="J25" s="3"/>
    </row>
    <row r="26" spans="2:10" x14ac:dyDescent="0.35">
      <c r="B26" s="20" t="s">
        <v>26</v>
      </c>
      <c r="C26" s="16" t="s">
        <v>49</v>
      </c>
      <c r="D26" s="17" t="s">
        <v>69</v>
      </c>
      <c r="E26" s="17" t="s">
        <v>89</v>
      </c>
      <c r="F26" s="17" t="s">
        <v>99</v>
      </c>
      <c r="G26" s="17" t="s">
        <v>113</v>
      </c>
      <c r="H26" s="11">
        <v>0.1</v>
      </c>
      <c r="I26" s="9">
        <v>2</v>
      </c>
      <c r="J26" s="3"/>
    </row>
    <row r="27" spans="2:10" ht="24.5" x14ac:dyDescent="0.35">
      <c r="B27" s="20" t="s">
        <v>27</v>
      </c>
      <c r="C27" s="16" t="s">
        <v>50</v>
      </c>
      <c r="D27" s="17" t="s">
        <v>70</v>
      </c>
      <c r="E27" s="17" t="s">
        <v>90</v>
      </c>
      <c r="F27" s="17" t="s">
        <v>99</v>
      </c>
      <c r="G27" s="17" t="s">
        <v>114</v>
      </c>
      <c r="H27" s="11">
        <v>0.1</v>
      </c>
      <c r="I27" s="9">
        <v>1</v>
      </c>
      <c r="J27" s="3"/>
    </row>
    <row r="28" spans="2:10" x14ac:dyDescent="0.35">
      <c r="B28" s="20" t="s">
        <v>28</v>
      </c>
      <c r="C28" s="16" t="s">
        <v>51</v>
      </c>
      <c r="D28" s="17" t="s">
        <v>60</v>
      </c>
      <c r="E28" s="17" t="s">
        <v>91</v>
      </c>
      <c r="F28" s="17" t="s">
        <v>99</v>
      </c>
      <c r="G28" s="17" t="s">
        <v>115</v>
      </c>
      <c r="H28" s="11">
        <v>0.1</v>
      </c>
      <c r="I28" s="9">
        <v>1</v>
      </c>
      <c r="J28" s="3"/>
    </row>
    <row r="29" spans="2:10" ht="24.5" x14ac:dyDescent="0.35">
      <c r="B29" s="20" t="s">
        <v>29</v>
      </c>
      <c r="C29" s="16" t="s">
        <v>52</v>
      </c>
      <c r="D29" s="17" t="s">
        <v>64</v>
      </c>
      <c r="E29" s="17" t="s">
        <v>92</v>
      </c>
      <c r="F29" s="17" t="s">
        <v>99</v>
      </c>
      <c r="G29" s="17" t="s">
        <v>116</v>
      </c>
      <c r="H29" s="11">
        <v>0.1</v>
      </c>
      <c r="I29" s="9">
        <v>1</v>
      </c>
      <c r="J29" s="3"/>
    </row>
    <row r="30" spans="2:10" x14ac:dyDescent="0.35">
      <c r="B30" s="20" t="s">
        <v>30</v>
      </c>
      <c r="C30" s="16" t="s">
        <v>53</v>
      </c>
      <c r="D30" s="17" t="s">
        <v>71</v>
      </c>
      <c r="E30" s="17">
        <v>5012</v>
      </c>
      <c r="F30" s="17" t="s">
        <v>99</v>
      </c>
      <c r="G30" s="17" t="s">
        <v>117</v>
      </c>
      <c r="H30" s="11">
        <v>0.33</v>
      </c>
      <c r="I30" s="9">
        <v>2</v>
      </c>
      <c r="J30" s="3"/>
    </row>
    <row r="31" spans="2:10" x14ac:dyDescent="0.35">
      <c r="B31" s="20" t="s">
        <v>31</v>
      </c>
      <c r="C31" s="16" t="s">
        <v>54</v>
      </c>
      <c r="D31" s="17" t="s">
        <v>72</v>
      </c>
      <c r="E31" s="17" t="s">
        <v>93</v>
      </c>
      <c r="F31" s="17" t="s">
        <v>99</v>
      </c>
      <c r="G31" s="17" t="s">
        <v>118</v>
      </c>
      <c r="H31" s="11">
        <v>4.3499999999999996</v>
      </c>
      <c r="I31" s="9">
        <v>1</v>
      </c>
      <c r="J31" s="3"/>
    </row>
    <row r="32" spans="2:10" x14ac:dyDescent="0.35">
      <c r="B32" s="20" t="s">
        <v>32</v>
      </c>
      <c r="C32" s="16" t="s">
        <v>55</v>
      </c>
      <c r="D32" s="17" t="s">
        <v>66</v>
      </c>
      <c r="E32" s="17" t="s">
        <v>94</v>
      </c>
      <c r="F32" s="17" t="s">
        <v>99</v>
      </c>
      <c r="G32" s="17" t="s">
        <v>119</v>
      </c>
      <c r="H32" s="11">
        <v>0.56999999999999995</v>
      </c>
      <c r="I32" s="9">
        <v>1</v>
      </c>
      <c r="J32" s="3"/>
    </row>
    <row r="33" spans="2:10" x14ac:dyDescent="0.35">
      <c r="B33" s="20" t="s">
        <v>33</v>
      </c>
      <c r="C33" s="16" t="s">
        <v>56</v>
      </c>
      <c r="D33" s="17" t="s">
        <v>73</v>
      </c>
      <c r="E33" s="17" t="s">
        <v>95</v>
      </c>
      <c r="F33" s="17" t="s">
        <v>99</v>
      </c>
      <c r="G33" s="17" t="s">
        <v>120</v>
      </c>
      <c r="H33" s="11">
        <v>1.29</v>
      </c>
      <c r="I33" s="9">
        <v>2</v>
      </c>
      <c r="J33" s="3"/>
    </row>
    <row r="34" spans="2:10" x14ac:dyDescent="0.35">
      <c r="B34" s="20" t="s">
        <v>34</v>
      </c>
      <c r="C34" s="16" t="s">
        <v>57</v>
      </c>
      <c r="D34" s="17" t="s">
        <v>74</v>
      </c>
      <c r="E34" s="17" t="s">
        <v>96</v>
      </c>
      <c r="F34" s="17" t="s">
        <v>99</v>
      </c>
      <c r="G34" s="17" t="s">
        <v>121</v>
      </c>
      <c r="H34" s="11">
        <v>2.0099999999999998</v>
      </c>
      <c r="I34" s="9">
        <v>1</v>
      </c>
      <c r="J34" s="3"/>
    </row>
    <row r="35" spans="2:10" x14ac:dyDescent="0.35">
      <c r="B35" s="20" t="s">
        <v>35</v>
      </c>
      <c r="C35" s="16" t="s">
        <v>58</v>
      </c>
      <c r="D35" s="17" t="s">
        <v>75</v>
      </c>
      <c r="E35" s="17" t="s">
        <v>97</v>
      </c>
      <c r="F35" s="17" t="s">
        <v>99</v>
      </c>
      <c r="G35" s="17" t="s">
        <v>122</v>
      </c>
      <c r="H35" s="11">
        <v>1.43</v>
      </c>
      <c r="I35" s="9">
        <v>1</v>
      </c>
      <c r="J35" s="3"/>
    </row>
    <row r="36" spans="2:10" ht="15" thickBot="1" x14ac:dyDescent="0.4">
      <c r="B36" s="21"/>
      <c r="C36" s="6"/>
      <c r="D36" s="10"/>
      <c r="E36" s="10"/>
      <c r="F36" s="10"/>
      <c r="G36" s="10"/>
      <c r="H36" s="12">
        <f>SUM(H13:H35)</f>
        <v>13.58</v>
      </c>
      <c r="I36" s="10">
        <f>SUM(I13:I35)</f>
        <v>57</v>
      </c>
      <c r="J36" s="3"/>
    </row>
    <row r="37" spans="2:10" ht="15" thickBot="1" x14ac:dyDescent="0.4">
      <c r="I37" s="2"/>
    </row>
    <row r="38" spans="2:10" x14ac:dyDescent="0.35">
      <c r="B38" s="19" t="s">
        <v>1</v>
      </c>
      <c r="C38" s="2"/>
      <c r="D38" s="2"/>
      <c r="E38" s="2"/>
      <c r="F38" s="2"/>
      <c r="G38" s="2"/>
      <c r="H38" s="2"/>
      <c r="I38" s="13"/>
    </row>
    <row r="39" spans="2:10" x14ac:dyDescent="0.35">
      <c r="B39" s="3"/>
      <c r="I39" s="14"/>
    </row>
    <row r="40" spans="2:10" x14ac:dyDescent="0.35">
      <c r="B40" s="3"/>
      <c r="I40" s="14"/>
    </row>
    <row r="41" spans="2:10" x14ac:dyDescent="0.35">
      <c r="B41" s="3"/>
      <c r="I41" s="14"/>
    </row>
    <row r="42" spans="2:10" x14ac:dyDescent="0.35">
      <c r="B42" s="3"/>
      <c r="I42" s="14"/>
    </row>
    <row r="43" spans="2:10" ht="15" thickBot="1" x14ac:dyDescent="0.4">
      <c r="B43" s="5"/>
      <c r="C43" s="6"/>
      <c r="D43" s="6"/>
      <c r="E43" s="6"/>
      <c r="F43" s="6"/>
      <c r="G43" s="6"/>
      <c r="H43" s="6"/>
      <c r="I43" s="15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MacGregor, Russell</cp:lastModifiedBy>
  <cp:lastPrinted>2014-01-09T23:24:28Z</cp:lastPrinted>
  <dcterms:created xsi:type="dcterms:W3CDTF">2013-12-31T18:23:59Z</dcterms:created>
  <dcterms:modified xsi:type="dcterms:W3CDTF">2026-08-13T23:15:32Z</dcterms:modified>
</cp:coreProperties>
</file>